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n de prueb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Trazabilidad" sheetId="3" state="visible" r:id="rId3"/>
    <sheet xmlns:r="http://schemas.openxmlformats.org/officeDocument/2006/relationships" name="Leyenda" sheetId="4" state="visible" r:id="rId4"/>
  </sheets>
  <definedNames>
    <definedName name="_xlnm._FilterDatabase" localSheetId="0" hidden="1">'Plan de pruebas'!$A$6:$N$108</definedName>
    <definedName name="_xlnm.Print_Titles" localSheetId="0">'Plan de pruebas'!$6:$6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4E3B2E"/>
      <sz val="11"/>
    </font>
    <font>
      <name val="Calibri"/>
      <charset val="1"/>
      <family val="0"/>
      <b val="1"/>
      <color rgb="FF4E3B2E"/>
      <sz val="16"/>
    </font>
    <font>
      <name val="Calibri"/>
      <charset val="1"/>
      <family val="0"/>
      <i val="1"/>
      <sz val="10"/>
    </font>
    <font>
      <name val="Calibri"/>
      <charset val="1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0"/>
    </font>
    <font>
      <name val="Arial"/>
      <family val="2"/>
      <sz val="10"/>
    </font>
    <font>
      <name val="Calibri"/>
      <charset val="1"/>
      <family val="0"/>
      <b val="1"/>
      <color rgb="FF4E3B2E"/>
      <sz val="14"/>
    </font>
    <font>
      <name val="Calibri"/>
      <charset val="1"/>
      <family val="0"/>
      <b val="1"/>
      <color rgb="FF4E3B2E"/>
      <sz val="12"/>
    </font>
    <font>
      <name val="Calibri"/>
      <charset val="1"/>
      <family val="0"/>
      <i val="1"/>
      <sz val="9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6"/>
    </font>
    <font>
      <name val="Calibri"/>
      <color rgb="FF000000"/>
      <sz val="10"/>
    </font>
    <font>
      <name val="Calibri"/>
      <b val="1"/>
      <color rgb="FFFFFFFF"/>
      <sz val="11"/>
    </font>
    <font>
      <name val="Calibri"/>
      <b val="1"/>
      <color rgb="FF000000"/>
      <sz val="10"/>
    </font>
    <font>
      <name val="Calibri"/>
      <b val="1"/>
      <color rgb="FF000000"/>
      <sz val="14"/>
    </font>
    <font>
      <name val="Calibri"/>
      <b val="1"/>
      <color rgb="FF000000"/>
      <sz val="12"/>
    </font>
    <font>
      <name val="Calibri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4E3B2E"/>
        <bgColor rgb="FF375623"/>
      </patternFill>
    </fill>
    <fill>
      <patternFill patternType="solid">
        <fgColor rgb="FFEADFCC"/>
        <bgColor rgb="FFE2EFDA"/>
      </patternFill>
    </fill>
    <fill>
      <patternFill patternType="solid">
        <fgColor rgb="FF000000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FB2A3"/>
      </left>
      <right style="thin">
        <color rgb="FFBFB2A3"/>
      </right>
      <top style="thin">
        <color rgb="FFBFB2A3"/>
      </top>
      <bottom style="thin">
        <color rgb="FFBFB2A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bottom"/>
    </xf>
    <xf numFmtId="165" fontId="11" fillId="3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6" fillId="0" borderId="2" pivotButton="0" quotePrefix="0" xfId="0"/>
    <xf numFmtId="0" fontId="0" fillId="0" borderId="0" pivotButton="0" quotePrefix="0" xfId="0"/>
    <xf numFmtId="0" fontId="17" fillId="0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6" fillId="0" borderId="2" applyAlignment="1" pivotButton="0" quotePrefix="0" xfId="0">
      <alignment horizontal="general" vertical="bottom"/>
    </xf>
    <xf numFmtId="0" fontId="20" fillId="4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general" vertical="top" wrapText="1"/>
    </xf>
    <xf numFmtId="0" fontId="19" fillId="0" borderId="2" applyAlignment="1" pivotButton="0" quotePrefix="0" xfId="0">
      <alignment horizontal="center" vertical="top" wrapText="1"/>
    </xf>
    <xf numFmtId="0" fontId="19" fillId="0" borderId="2" applyAlignment="1" pivotButton="0" quotePrefix="0" xfId="0">
      <alignment horizontal="general" vertical="top" wrapText="1"/>
    </xf>
    <xf numFmtId="164" fontId="19" fillId="0" borderId="2" applyAlignment="1" pivotButton="0" quotePrefix="0" xfId="0">
      <alignment horizontal="center" vertical="top" wrapText="1"/>
    </xf>
    <xf numFmtId="0" fontId="22" fillId="0" borderId="2" applyAlignment="1" pivotButton="0" quotePrefix="0" xfId="0">
      <alignment horizontal="general" vertical="bottom"/>
    </xf>
    <xf numFmtId="0" fontId="23" fillId="0" borderId="2" applyAlignment="1" pivotButton="0" quotePrefix="0" xfId="0">
      <alignment horizontal="general" vertical="bottom"/>
    </xf>
    <xf numFmtId="0" fontId="19" fillId="0" borderId="2" applyAlignment="1" pivotButton="0" quotePrefix="0" xfId="0">
      <alignment horizontal="center" vertical="bottom"/>
    </xf>
    <xf numFmtId="165" fontId="19" fillId="0" borderId="2" applyAlignment="1" pivotButton="0" quotePrefix="0" xfId="0">
      <alignment horizontal="center" vertical="bottom"/>
    </xf>
    <xf numFmtId="0" fontId="21" fillId="0" borderId="2" applyAlignment="1" pivotButton="0" quotePrefix="0" xfId="0">
      <alignment horizontal="general" vertical="bottom"/>
    </xf>
    <xf numFmtId="0" fontId="21" fillId="0" borderId="2" applyAlignment="1" pivotButton="0" quotePrefix="0" xfId="0">
      <alignment horizontal="center" vertical="bottom"/>
    </xf>
    <xf numFmtId="165" fontId="21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general" vertical="bottom"/>
    </xf>
    <xf numFmtId="0" fontId="17" fillId="5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E3B2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7F6000"/>
      </font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2A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ADF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4E3B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Plan de pruebas</author>
  </authors>
  <commentList>
    <comment ref="C6" authorId="0" shapeId="0">
      <text>
        <t>Asignación aleatoria y equilibrada entre los 3 integrantes (semilla 20260929 en pruebas/generar_excel.py).</t>
      </text>
    </comment>
    <comment ref="I6" authorId="0" shapeId="0">
      <text>
        <t>SI / NO según el resultado. PENDIENTE: aún no se ejecuta (prueba manual o módulo de la plataforma sin implementar).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108"/>
  <sheetViews>
    <sheetView showFormulas="0" showGridLines="1" showRowColHeaders="1" showZeros="1" rightToLeft="0" tabSelected="1" showOutlineSymbols="1" defaultGridColor="1" view="normal" topLeftCell="A5" colorId="64" zoomScale="150" zoomScaleNormal="150" zoomScalePageLayoutView="100" workbookViewId="0">
      <pane xSplit="1" ySplit="6" topLeftCell="B7" activePane="bottomRight" state="frozen"/>
      <selection pane="topLeft" activeCell="A5" activeCellId="0" sqref="A5"/>
      <selection pane="topRight" activeCell="B5" activeCellId="0" sqref="B5"/>
      <selection pane="bottomLeft" activeCell="A7" activeCellId="0" sqref="A7"/>
      <selection pane="bottomRight" activeCell="A9" activeCellId="0" sqref="A9"/>
    </sheetView>
  </sheetViews>
  <sheetFormatPr baseColWidth="8" defaultColWidth="10.6796875" defaultRowHeight="14.25" customHeight="0" zeroHeight="0" outlineLevelRow="0"/>
  <cols>
    <col width="10" customWidth="1" style="24" min="1" max="1"/>
    <col width="14" customWidth="1" style="24" min="2" max="2"/>
    <col width="18" customWidth="1" style="24" min="3" max="3"/>
    <col width="38" customWidth="1" style="24" min="4" max="5"/>
    <col width="30" customWidth="1" style="24" min="6" max="6"/>
    <col width="40" customWidth="1" style="24" min="7" max="7"/>
    <col width="42" customWidth="1" style="24" min="8" max="8"/>
    <col width="12" customWidth="1" style="24" min="9" max="9"/>
    <col width="11" customWidth="1" style="24" min="10" max="10"/>
    <col width="42" customWidth="1" style="24" min="11" max="11"/>
    <col width="22" customWidth="1" style="24" min="12" max="12"/>
    <col width="26" customWidth="1" style="24" min="13" max="13"/>
    <col width="8" customWidth="1" style="24" min="14" max="14"/>
  </cols>
  <sheetData>
    <row r="1">
      <c r="A1" s="2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</row>
    <row r="2" ht="19.7" customHeight="1" s="26">
      <c r="A2" s="27" t="inlineStr">
        <is>
          <t>Calidad de Software · Las instancias Team</t>
        </is>
      </c>
      <c r="B2" s="25" t="n"/>
      <c r="C2" s="25" t="n"/>
      <c r="D2" s="25" t="n"/>
      <c r="E2" s="25" t="n"/>
      <c r="F2" s="25" t="n"/>
      <c r="G2" s="28" t="inlineStr">
        <is>
          <t>Plan de pruebas de calidad Aplicación RiTech SAS Marketplace</t>
        </is>
      </c>
      <c r="H2" s="25" t="n"/>
      <c r="I2" s="25" t="n"/>
      <c r="J2" s="25" t="n"/>
      <c r="K2" s="25" t="n"/>
      <c r="L2" s="25" t="n"/>
      <c r="M2" s="25" t="n"/>
      <c r="N2" s="25" t="n"/>
    </row>
    <row r="3" ht="14.25" customHeight="1" s="26">
      <c r="A3" s="29" t="inlineStr">
        <is>
          <t>Marketplace de café y cacao de Nariño para compradores de la Unión Europea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</row>
    <row r="4" ht="14.25" customHeight="1" s="26">
      <c r="A4" s="29" t="inlineStr">
        <is>
          <t>Versión del plan: 29/09/2026 · leyenda en la hoja «Leyenda»</t>
        </is>
      </c>
      <c r="B4" s="25" t="n"/>
      <c r="C4" s="25" t="n"/>
      <c r="D4" s="25" t="n"/>
      <c r="E4" s="25" t="n"/>
      <c r="F4" s="27" t="inlineStr">
        <is>
          <t>Integrantes del equipo de trabajo:</t>
        </is>
      </c>
      <c r="G4" s="30" t="inlineStr">
        <is>
          <t>Nicolas Diaz</t>
        </is>
      </c>
      <c r="H4" s="30" t="inlineStr">
        <is>
          <t>Jenifer Urbano</t>
        </is>
      </c>
      <c r="I4" s="30" t="inlineStr">
        <is>
          <t>Juan Camilo Lopez</t>
        </is>
      </c>
      <c r="J4" s="25" t="n"/>
      <c r="K4" s="25" t="n"/>
      <c r="L4" s="25" t="n"/>
      <c r="M4" s="25" t="n"/>
      <c r="N4" s="25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</row>
    <row r="6" ht="48" customHeight="1" s="26">
      <c r="A6" s="44" t="inlineStr">
        <is>
          <t>identificador de test</t>
        </is>
      </c>
      <c r="B6" s="44" t="inlineStr">
        <is>
          <t>tipo (unitario, de integracion,  del sistema …)</t>
        </is>
      </c>
      <c r="C6" s="44" t="inlineStr">
        <is>
          <t>responsable</t>
        </is>
      </c>
      <c r="D6" s="44" t="inlineStr">
        <is>
          <t xml:space="preserve">descripcion </t>
        </is>
      </c>
      <c r="E6" s="44" t="inlineStr">
        <is>
          <t>Origen del codigo: Nombre de la funcion/metodo/modulo/programa/clase</t>
        </is>
      </c>
      <c r="F6" s="44" t="inlineStr">
        <is>
          <t>datos de entrada</t>
        </is>
      </c>
      <c r="G6" s="44" t="inlineStr">
        <is>
          <t>resultado esperado</t>
        </is>
      </c>
      <c r="H6" s="44" t="inlineStr">
        <is>
          <t>resultado obtenido</t>
        </is>
      </c>
      <c r="I6" s="44" t="inlineStr">
        <is>
          <t>Pasa SI/No</t>
        </is>
      </c>
      <c r="J6" s="44" t="inlineStr">
        <is>
          <t>fecha del test</t>
        </is>
      </c>
      <c r="K6" s="44" t="inlineStr">
        <is>
          <t>Siguiente paso</t>
        </is>
      </c>
      <c r="L6" s="44" t="inlineStr">
        <is>
          <t>Ámbito</t>
        </is>
      </c>
      <c r="M6" s="44" t="inlineStr">
        <is>
          <t>Trazabilidad (RF / RNF / RN / historia)</t>
        </is>
      </c>
      <c r="N6" s="44" t="inlineStr">
        <is>
          <t>Sprint</t>
        </is>
      </c>
    </row>
    <row r="7" ht="20.85" customHeight="1" s="26">
      <c r="A7" s="32" t="inlineStr">
        <is>
          <t>QA-001</t>
        </is>
      </c>
      <c r="B7" s="33" t="inlineStr">
        <is>
          <t>unitario</t>
        </is>
      </c>
      <c r="C7" s="34" t="inlineStr">
        <is>
          <t>Juan Camilo Lopez</t>
        </is>
      </c>
      <c r="D7" s="34" t="inlineStr">
        <is>
          <t>Registro de usuario con rol asignado</t>
        </is>
      </c>
      <c r="E7" s="34" t="inlineStr">
        <is>
          <t>usuarios/models.py, UsuarioSerializer</t>
        </is>
      </c>
      <c r="F7" s="34" t="inlineStr">
        <is>
          <t>nombre, identificación, email, firma, rol=comprador</t>
        </is>
      </c>
      <c r="G7" s="34" t="inlineStr">
        <is>
          <t>Usuario creado con rol correcto y estado ACTIVO</t>
        </is>
      </c>
      <c r="H7" s="34" t="inlineStr">
        <is>
          <t>Pendiente de ejecución</t>
        </is>
      </c>
      <c r="I7" s="33" t="inlineStr">
        <is>
          <t>PENDIENTE</t>
        </is>
      </c>
      <c r="J7" s="35" t="n"/>
      <c r="K7" s="34" t="inlineStr">
        <is>
          <t>Ejecutar en el Sprint 1 al implementar el módulo en Django (caso del plan del Sprint 2).</t>
        </is>
      </c>
      <c r="L7" s="34" t="inlineStr">
        <is>
          <t>Plataforma (Django + PostgreSQL/PostGIS + AWS)</t>
        </is>
      </c>
      <c r="M7" s="34" t="inlineStr">
        <is>
          <t>RF-01; LIT-64</t>
        </is>
      </c>
      <c r="N7" s="33" t="inlineStr">
        <is>
          <t>1</t>
        </is>
      </c>
    </row>
    <row r="8" ht="20.85" customHeight="1" s="26">
      <c r="A8" s="32" t="inlineStr">
        <is>
          <t>QA-002</t>
        </is>
      </c>
      <c r="B8" s="33" t="inlineStr">
        <is>
          <t>unitario</t>
        </is>
      </c>
      <c r="C8" s="34" t="inlineStr">
        <is>
          <t>Nicolas Diaz</t>
        </is>
      </c>
      <c r="D8" s="34" t="inlineStr">
        <is>
          <t>Login correcto y rechazo de credenciales inválidas</t>
        </is>
      </c>
      <c r="E8" s="34" t="inlineStr">
        <is>
          <t>usuarios/services.py, autenticar()</t>
        </is>
      </c>
      <c r="F8" s="34" t="inlineStr">
        <is>
          <t>email/password válidos e inválidos</t>
        </is>
      </c>
      <c r="G8" s="34" t="inlineStr">
        <is>
          <t>Acceso con credenciales válidas; 401 con inválidas</t>
        </is>
      </c>
      <c r="H8" s="34" t="inlineStr">
        <is>
          <t>Pendiente de ejecución</t>
        </is>
      </c>
      <c r="I8" s="33" t="inlineStr">
        <is>
          <t>PENDIENTE</t>
        </is>
      </c>
      <c r="J8" s="35" t="n"/>
      <c r="K8" s="34" t="inlineStr">
        <is>
          <t>Ejecutar en el Sprint 1 al implementar el módulo en Django (caso del plan del Sprint 2).</t>
        </is>
      </c>
      <c r="L8" s="34" t="inlineStr">
        <is>
          <t>Plataforma (Django + PostgreSQL/PostGIS + AWS)</t>
        </is>
      </c>
      <c r="M8" s="34" t="inlineStr">
        <is>
          <t>RF-01; LIT-64</t>
        </is>
      </c>
      <c r="N8" s="33" t="inlineStr">
        <is>
          <t>1</t>
        </is>
      </c>
    </row>
    <row r="9" ht="20.85" customHeight="1" s="26">
      <c r="A9" s="32" t="inlineStr">
        <is>
          <t>QA-003</t>
        </is>
      </c>
      <c r="B9" s="33" t="inlineStr">
        <is>
          <t>unitario</t>
        </is>
      </c>
      <c r="C9" s="34" t="inlineStr">
        <is>
          <t>Jenifer Urbano</t>
        </is>
      </c>
      <c r="D9" s="34" t="inlineStr">
        <is>
          <t>Autorización por rol (acceso denegado)</t>
        </is>
      </c>
      <c r="E9" s="34" t="inlineStr">
        <is>
          <t>usuarios/permissions.py</t>
        </is>
      </c>
      <c r="F9" s="34" t="inlineStr">
        <is>
          <t>comprador intenta acceder a endpoint de admin</t>
        </is>
      </c>
      <c r="G9" s="34" t="inlineStr">
        <is>
          <t>HTTP 403; no ejecuta la acción</t>
        </is>
      </c>
      <c r="H9" s="34" t="inlineStr">
        <is>
          <t>Pendiente de ejecución</t>
        </is>
      </c>
      <c r="I9" s="33" t="inlineStr">
        <is>
          <t>PENDIENTE</t>
        </is>
      </c>
      <c r="J9" s="35" t="n"/>
      <c r="K9" s="34" t="inlineStr">
        <is>
          <t>Ejecutar en el Sprint 1 al implementar el módulo en Django (caso del plan del Sprint 2).</t>
        </is>
      </c>
      <c r="L9" s="34" t="inlineStr">
        <is>
          <t>Plataforma (Django + PostgreSQL/PostGIS + AWS)</t>
        </is>
      </c>
      <c r="M9" s="34" t="inlineStr">
        <is>
          <t>RF-01; RNF-05; LIT-64</t>
        </is>
      </c>
      <c r="N9" s="33" t="inlineStr">
        <is>
          <t>1</t>
        </is>
      </c>
    </row>
    <row r="10" ht="20.85" customHeight="1" s="26">
      <c r="A10" s="32" t="inlineStr">
        <is>
          <t>QA-004</t>
        </is>
      </c>
      <c r="B10" s="33" t="inlineStr">
        <is>
          <t>unitario</t>
        </is>
      </c>
      <c r="C10" s="34" t="inlineStr">
        <is>
          <t>Juan Camilo Lopez</t>
        </is>
      </c>
      <c r="D10" s="34" t="inlineStr">
        <is>
          <t>Bloqueo/baneo de usuario por fraude</t>
        </is>
      </c>
      <c r="E10" s="34" t="inlineStr">
        <is>
          <t>usuarios/services.py, bloquear()</t>
        </is>
      </c>
      <c r="F10" s="34" t="inlineStr">
        <is>
          <t>usuario activo + motivo de fraude</t>
        </is>
      </c>
      <c r="G10" s="34" t="inlineStr">
        <is>
          <t>Usuario pasa a BLOQUEADO y no puede iniciar sesión</t>
        </is>
      </c>
      <c r="H10" s="34" t="inlineStr">
        <is>
          <t>Pendiente de ejecución</t>
        </is>
      </c>
      <c r="I10" s="33" t="inlineStr">
        <is>
          <t>PENDIENTE</t>
        </is>
      </c>
      <c r="J10" s="35" t="n"/>
      <c r="K10" s="34" t="inlineStr">
        <is>
          <t>Ejecutar en el Sprint 1 al implementar el módulo en Django (caso del plan del Sprint 2).</t>
        </is>
      </c>
      <c r="L10" s="34" t="inlineStr">
        <is>
          <t>Plataforma (Django + PostgreSQL/PostGIS + AWS)</t>
        </is>
      </c>
      <c r="M10" s="34" t="inlineStr">
        <is>
          <t>RF-04; RN-12; LIT-67</t>
        </is>
      </c>
      <c r="N10" s="33" t="inlineStr">
        <is>
          <t>1</t>
        </is>
      </c>
    </row>
    <row r="11" ht="20.85" customHeight="1" s="26">
      <c r="A11" s="32" t="inlineStr">
        <is>
          <t>QA-005</t>
        </is>
      </c>
      <c r="B11" s="33" t="inlineStr">
        <is>
          <t>de integración</t>
        </is>
      </c>
      <c r="C11" s="34" t="inlineStr">
        <is>
          <t>Juan Camilo Lopez</t>
        </is>
      </c>
      <c r="D11" s="34" t="inlineStr">
        <is>
          <t>Privacidad: un usuario no ve datos privados de otro</t>
        </is>
      </c>
      <c r="E11" s="34" t="inlineStr">
        <is>
          <t>fincas/views.py, marketplace/views.py</t>
        </is>
      </c>
      <c r="F11" s="34" t="inlineStr">
        <is>
          <t>usuario A solicita ubicación de finca de usuario B</t>
        </is>
      </c>
      <c r="G11" s="34" t="inlineStr">
        <is>
          <t>La ubicación permanece oculta (RN-13)</t>
        </is>
      </c>
      <c r="H11" s="34" t="inlineStr">
        <is>
          <t>Pendiente de ejecución</t>
        </is>
      </c>
      <c r="I11" s="33" t="inlineStr">
        <is>
          <t>PENDIENTE</t>
        </is>
      </c>
      <c r="J11" s="35" t="n"/>
      <c r="K11" s="34" t="inlineStr">
        <is>
          <t>Ejecutar en el Sprint 1 al implementar el módulo en Django (caso del plan del Sprint 2).</t>
        </is>
      </c>
      <c r="L11" s="34" t="inlineStr">
        <is>
          <t>Plataforma (Django + PostgreSQL/PostGIS + AWS)</t>
        </is>
      </c>
      <c r="M11" s="34" t="inlineStr">
        <is>
          <t>RF-03; RN-13; RNF-09; LIT-66</t>
        </is>
      </c>
      <c r="N11" s="33" t="inlineStr">
        <is>
          <t>1</t>
        </is>
      </c>
    </row>
    <row r="12" ht="20.85" customHeight="1" s="26">
      <c r="A12" s="32" t="inlineStr">
        <is>
          <t>QA-006</t>
        </is>
      </c>
      <c r="B12" s="33" t="inlineStr">
        <is>
          <t>de integración</t>
        </is>
      </c>
      <c r="C12" s="34" t="inlineStr">
        <is>
          <t>Nicolas Diaz</t>
        </is>
      </c>
      <c r="D12" s="34" t="inlineStr">
        <is>
          <t>Verificación de identidad (identificación + firma)</t>
        </is>
      </c>
      <c r="E12" s="34" t="inlineStr">
        <is>
          <t>usuarios/services.py, verificar_identidad()</t>
        </is>
      </c>
      <c r="F12" s="34" t="inlineStr">
        <is>
          <t>identificación y firma registradas una sola vez</t>
        </is>
      </c>
      <c r="G12" s="34" t="inlineStr">
        <is>
          <t>Identidad verificada; habilita operaciones</t>
        </is>
      </c>
      <c r="H12" s="34" t="inlineStr">
        <is>
          <t>Pendiente de ejecución</t>
        </is>
      </c>
      <c r="I12" s="33" t="inlineStr">
        <is>
          <t>PENDIENTE</t>
        </is>
      </c>
      <c r="J12" s="35" t="n"/>
      <c r="K12" s="34" t="inlineStr">
        <is>
          <t>Ejecutar en el Sprint 1 al implementar el módulo en Django (caso del plan del Sprint 2).</t>
        </is>
      </c>
      <c r="L12" s="34" t="inlineStr">
        <is>
          <t>Plataforma (Django + PostgreSQL/PostGIS + AWS)</t>
        </is>
      </c>
      <c r="M12" s="34" t="inlineStr">
        <is>
          <t>RF-02; RN-5; LIT-65</t>
        </is>
      </c>
      <c r="N12" s="33" t="inlineStr">
        <is>
          <t>1</t>
        </is>
      </c>
    </row>
    <row r="13" ht="20.85" customHeight="1" s="26">
      <c r="A13" s="32" t="inlineStr">
        <is>
          <t>QA-007</t>
        </is>
      </c>
      <c r="B13" s="33" t="inlineStr">
        <is>
          <t>de integración</t>
        </is>
      </c>
      <c r="C13" s="34" t="inlineStr">
        <is>
          <t>Jenifer Urbano</t>
        </is>
      </c>
      <c r="D13" s="34" t="inlineStr">
        <is>
          <t>Bloquear y desbloquear un usuario por intento de fraude.</t>
        </is>
      </c>
      <c r="E13" s="34" t="inlineStr">
        <is>
          <t>src/store/DemoStore.tsx, reducer: setUserStatus</t>
        </is>
      </c>
      <c r="F13" s="34" t="inlineStr">
        <is>
          <t>administrador bloquea y luego desbloquea a u-buyer2</t>
        </is>
      </c>
      <c r="G13" s="34" t="inlineStr">
        <is>
          <t>Estado 'bloqueado' y luego 'activo', cada acción con su entrada de auditoría (RN-12)</t>
        </is>
      </c>
      <c r="H13" s="34" t="inlineStr">
        <is>
          <t>Bloquear → "blocked" (auditoría "block"); desbloquear → "active" (auditoría "unblock")</t>
        </is>
      </c>
      <c r="I13" s="33" t="inlineStr">
        <is>
          <t>SI</t>
        </is>
      </c>
      <c r="J13" s="35" t="n">
        <v>46294</v>
      </c>
      <c r="K13" s="34" t="inlineStr">
        <is>
          <t>Ejecutado automáticamente (pruebas/ejecutar.mjs). El responsable debe re-ejecutarlo y confirmar.</t>
        </is>
      </c>
      <c r="L13" s="34" t="inlineStr">
        <is>
          <t>Prototipo React (demo estática)</t>
        </is>
      </c>
      <c r="M13" s="34" t="inlineStr">
        <is>
          <t>RF-04; RN-12; RNF-11; LIT-67</t>
        </is>
      </c>
      <c r="N13" s="33" t="inlineStr">
        <is>
          <t>1</t>
        </is>
      </c>
    </row>
    <row r="14" ht="20.85" customHeight="1" s="26">
      <c r="A14" s="32" t="inlineStr">
        <is>
          <t>QA-008</t>
        </is>
      </c>
      <c r="B14" s="33" t="inlineStr">
        <is>
          <t>de integración</t>
        </is>
      </c>
      <c r="C14" s="34" t="inlineStr">
        <is>
          <t>Jenifer Urbano</t>
        </is>
      </c>
      <c r="D14" s="34" t="inlineStr">
        <is>
          <t>Verificar la identidad de un usuario.</t>
        </is>
      </c>
      <c r="E14" s="34" t="inlineStr">
        <is>
          <t>src/store/DemoStore.tsx, reducer: verifyUser</t>
        </is>
      </c>
      <c r="F14" s="34" t="inlineStr">
        <is>
          <t>administrador verifica a u-buyer4 (no verificado)</t>
        </is>
      </c>
      <c r="G14" s="34" t="inlineStr">
        <is>
          <t>El usuario queda verificado y la acción queda auditada (RF-02)</t>
        </is>
      </c>
      <c r="H14" s="34" t="inlineStr">
        <is>
          <t>u-buyer4 verificado: false → true; auditoría "verify"</t>
        </is>
      </c>
      <c r="I14" s="33" t="inlineStr">
        <is>
          <t>SI</t>
        </is>
      </c>
      <c r="J14" s="35" t="n">
        <v>46294</v>
      </c>
      <c r="K14" s="34" t="inlineStr">
        <is>
          <t>Ejecutado automáticamente (pruebas/ejecutar.mjs). El responsable debe re-ejecutarlo y confirmar.</t>
        </is>
      </c>
      <c r="L14" s="34" t="inlineStr">
        <is>
          <t>Prototipo React (demo estática)</t>
        </is>
      </c>
      <c r="M14" s="34" t="inlineStr">
        <is>
          <t>RF-02; LIT-65</t>
        </is>
      </c>
      <c r="N14" s="33" t="inlineStr">
        <is>
          <t>1</t>
        </is>
      </c>
    </row>
    <row r="15" ht="30.55" customHeight="1" s="26">
      <c r="A15" s="32" t="inlineStr">
        <is>
          <t>QA-009</t>
        </is>
      </c>
      <c r="B15" s="33" t="inlineStr">
        <is>
          <t>de integración</t>
        </is>
      </c>
      <c r="C15" s="34" t="inlineStr">
        <is>
          <t>Juan Camilo Lopez</t>
        </is>
      </c>
      <c r="D15" s="34" t="inlineStr">
        <is>
          <t>Comprobar que la tarjeta de lote del catálogo no revela la finca ni su ubicación.</t>
        </is>
      </c>
      <c r="E15" s="34" t="inlineStr">
        <is>
          <t>src/components/common/LotCard.tsx + I18nProvider (renderToString)</t>
        </is>
      </c>
      <c r="F15" s="34" t="inlineStr">
        <is>
          <t>los 9 lotes de ejemplo y un lote de control con la finca en el texto</t>
        </is>
      </c>
      <c r="G15" s="34" t="inlineStr">
        <is>
          <t>Ninguna tarjeta muestra nombre de finca, municipio, altitud ni coordenadas (RN-13); el control sí se detecta</t>
        </is>
      </c>
      <c r="H15" s="34" t="inlineStr">
        <is>
          <t>9 tarjetas renderizadas; ninguna muestra nombre de finca, municipio, altitud ni coordenadas; control positivo detectado: sí</t>
        </is>
      </c>
      <c r="I15" s="33" t="inlineStr">
        <is>
          <t>SI</t>
        </is>
      </c>
      <c r="J15" s="35" t="n">
        <v>46294</v>
      </c>
      <c r="K15" s="34" t="inlineStr">
        <is>
          <t>Ejecutado automáticamente (pruebas/ejecutar.mjs). El responsable debe re-ejecutarlo y confirmar.</t>
        </is>
      </c>
      <c r="L15" s="34" t="inlineStr">
        <is>
          <t>Prototipo React (demo estática)</t>
        </is>
      </c>
      <c r="M15" s="34" t="inlineStr">
        <is>
          <t>RF-03; RN-13; RNF-09; LIT-66</t>
        </is>
      </c>
      <c r="N15" s="33" t="inlineStr">
        <is>
          <t>1</t>
        </is>
      </c>
    </row>
    <row r="16" ht="30.55" customHeight="1" s="26">
      <c r="A16" s="32" t="inlineStr">
        <is>
          <t>QA-010</t>
        </is>
      </c>
      <c r="B16" s="33" t="inlineStr">
        <is>
          <t>del sistema</t>
        </is>
      </c>
      <c r="C16" s="34" t="inlineStr">
        <is>
          <t>Jenifer Urbano</t>
        </is>
      </c>
      <c r="D16" s="34" t="inlineStr">
        <is>
          <t>Ingresar con cada uno de los 6 roles y revisar su menú.</t>
        </is>
      </c>
      <c r="E16" s="34" t="inlineStr">
        <is>
          <t>src/pages/Login.tsx, src/components/layout/roleNav.ts, AppLayout</t>
        </is>
      </c>
      <c r="F16" s="34" t="inlineStr">
        <is>
          <t>comprador, vendedor, propietario, transportador, admin. sistema, admin. técnico</t>
        </is>
      </c>
      <c r="G16" s="34" t="inlineStr">
        <is>
          <t>Cada rol entra a su panel y ve solo su navegación (RF-01)</t>
        </is>
      </c>
      <c r="H16" s="34" t="inlineStr">
        <is>
          <t>Pendiente de ejecución</t>
        </is>
      </c>
      <c r="I16" s="33" t="inlineStr">
        <is>
          <t>PENDIENTE</t>
        </is>
      </c>
      <c r="J16" s="35" t="n"/>
      <c r="K16" s="34" t="inlineStr">
        <is>
          <t>Ejecutar manualmente sobre el prototipo (npm run dev) y adjuntar pantallazos como evidencia.</t>
        </is>
      </c>
      <c r="L16" s="34" t="inlineStr">
        <is>
          <t>Prototipo React (demo estática)</t>
        </is>
      </c>
      <c r="M16" s="34" t="inlineStr">
        <is>
          <t>RF-01; LIT-64</t>
        </is>
      </c>
      <c r="N16" s="33" t="inlineStr">
        <is>
          <t>1</t>
        </is>
      </c>
    </row>
    <row r="17" ht="20.85" customHeight="1" s="26">
      <c r="A17" s="32" t="inlineStr">
        <is>
          <t>QA-011</t>
        </is>
      </c>
      <c r="B17" s="33" t="inlineStr">
        <is>
          <t>del sistema</t>
        </is>
      </c>
      <c r="C17" s="34" t="inlineStr">
        <is>
          <t>Nicolas Diaz</t>
        </is>
      </c>
      <c r="D17" s="34" t="inlineStr">
        <is>
          <t>Operar la negociación como comprador bloqueado.</t>
        </is>
      </c>
      <c r="E17" s="34" t="inlineStr">
        <is>
          <t>src/pages/shared/Negotiations.tsx</t>
        </is>
      </c>
      <c r="F17" s="34" t="inlineStr">
        <is>
          <t>negociación abierta con u-buyer3 (bloqueado)</t>
        </is>
      </c>
      <c r="G17" s="34" t="inlineStr">
        <is>
          <t>Chat, contraoferta y acuerdo deshabilitados, con aviso visible en texto e ícono (RN-12)</t>
        </is>
      </c>
      <c r="H17" s="34" t="inlineStr">
        <is>
          <t>Pendiente de ejecución</t>
        </is>
      </c>
      <c r="I17" s="33" t="inlineStr">
        <is>
          <t>PENDIENTE</t>
        </is>
      </c>
      <c r="J17" s="35" t="n"/>
      <c r="K17" s="34" t="inlineStr">
        <is>
          <t>Ejecutar manualmente sobre el prototipo (npm run dev) y adjuntar pantallazos como evidencia.</t>
        </is>
      </c>
      <c r="L17" s="34" t="inlineStr">
        <is>
          <t>Prototipo React (demo estática)</t>
        </is>
      </c>
      <c r="M17" s="34" t="inlineStr">
        <is>
          <t>RF-04; RN-12; LIT-67</t>
        </is>
      </c>
      <c r="N17" s="33" t="inlineStr">
        <is>
          <t>1</t>
        </is>
      </c>
    </row>
    <row r="18" ht="30.55" customHeight="1" s="26">
      <c r="A18" s="32" t="inlineStr">
        <is>
          <t>QA-012</t>
        </is>
      </c>
      <c r="B18" s="33" t="inlineStr">
        <is>
          <t>del sistema</t>
        </is>
      </c>
      <c r="C18" s="34" t="inlineStr">
        <is>
          <t>Jenifer Urbano</t>
        </is>
      </c>
      <c r="D18" s="34" t="inlineStr">
        <is>
          <t>Revisar la privacidad en catálogo, detalle de lote y negociación.</t>
        </is>
      </c>
      <c r="E18" s="34" t="inlineStr">
        <is>
          <t>src/pages/buyer/Buyer.tsx, src/pages/shared/Negotiations.tsx</t>
        </is>
      </c>
      <c r="F18" s="34" t="inlineStr">
        <is>
          <t>lote NAR-2401 visto desde catálogo y desde una negociación activa</t>
        </is>
      </c>
      <c r="G18" s="34" t="inlineStr">
        <is>
          <t>Catálogo y detalle solo muestran 'Nariño'; finca, municipio y altitud aparecen únicamente dentro de la negociación (RN-13)</t>
        </is>
      </c>
      <c r="H18" s="34" t="inlineStr">
        <is>
          <t>Pendiente de ejecución</t>
        </is>
      </c>
      <c r="I18" s="33" t="inlineStr">
        <is>
          <t>PENDIENTE</t>
        </is>
      </c>
      <c r="J18" s="35" t="n"/>
      <c r="K18" s="34" t="inlineStr">
        <is>
          <t>Ejecutar manualmente sobre el prototipo (npm run dev) y adjuntar pantallazos como evidencia.</t>
        </is>
      </c>
      <c r="L18" s="34" t="inlineStr">
        <is>
          <t>Prototipo React (demo estática)</t>
        </is>
      </c>
      <c r="M18" s="34" t="inlineStr">
        <is>
          <t>RF-03; RN-13; RNF-09; LIT-66</t>
        </is>
      </c>
      <c r="N18" s="33" t="inlineStr">
        <is>
          <t>1</t>
        </is>
      </c>
    </row>
    <row r="19" ht="20.85" customHeight="1" s="26">
      <c r="A19" s="32" t="inlineStr">
        <is>
          <t>QA-013</t>
        </is>
      </c>
      <c r="B19" s="33" t="inlineStr">
        <is>
          <t>unitario</t>
        </is>
      </c>
      <c r="C19" s="34" t="inlineStr">
        <is>
          <t>Nicolas Diaz</t>
        </is>
      </c>
      <c r="D19" s="34" t="inlineStr">
        <is>
          <t>Impedir modificar nombre, identificación y firma después del registro.</t>
        </is>
      </c>
      <c r="E19" s="34" t="inlineStr">
        <is>
          <t>usuarios/serializers.py, UsuarioSerializer</t>
        </is>
      </c>
      <c r="F19" s="34" t="inlineStr">
        <is>
          <t>PATCH de identificación y firma de un usuario verificado</t>
        </is>
      </c>
      <c r="G19" s="34" t="inlineStr">
        <is>
          <t>Se rechaza la edición: estos datos se ingresan una sola vez (RN-5)</t>
        </is>
      </c>
      <c r="H19" s="34" t="inlineStr">
        <is>
          <t>Pendiente de ejecución</t>
        </is>
      </c>
      <c r="I19" s="33" t="inlineStr">
        <is>
          <t>PENDIENTE</t>
        </is>
      </c>
      <c r="J19" s="35" t="n"/>
      <c r="K19" s="34" t="inlineStr">
        <is>
          <t>Ejecutar en el Sprint 1 al implementar el módulo en la plataforma.</t>
        </is>
      </c>
      <c r="L19" s="34" t="inlineStr">
        <is>
          <t>Plataforma (Django + PostgreSQL/PostGIS + AWS)</t>
        </is>
      </c>
      <c r="M19" s="34" t="inlineStr">
        <is>
          <t>RF-02; RN-5; LIT-65</t>
        </is>
      </c>
      <c r="N19" s="33" t="inlineStr">
        <is>
          <t>1</t>
        </is>
      </c>
    </row>
    <row r="20" ht="20.85" customHeight="1" s="26">
      <c r="A20" s="32" t="inlineStr">
        <is>
          <t>FN-001</t>
        </is>
      </c>
      <c r="B20" s="33" t="inlineStr">
        <is>
          <t>unitario</t>
        </is>
      </c>
      <c r="C20" s="34" t="inlineStr">
        <is>
          <t>Nicolas Diaz</t>
        </is>
      </c>
      <c r="D20" s="34" t="inlineStr">
        <is>
          <t>Registro de finca con polígono PostGIS</t>
        </is>
      </c>
      <c r="E20" s="34" t="inlineStr">
        <is>
          <t>fincas/models.py, FincaService</t>
        </is>
      </c>
      <c r="F20" s="34" t="inlineStr">
        <is>
          <t>polígono GeoJSON + área</t>
        </is>
      </c>
      <c r="G20" s="34" t="inlineStr">
        <is>
          <t>Finca creada con geometry(Polygon,4326) válida</t>
        </is>
      </c>
      <c r="H20" s="34" t="inlineStr">
        <is>
          <t>Pendiente de ejecución</t>
        </is>
      </c>
      <c r="I20" s="33" t="inlineStr">
        <is>
          <t>PENDIENTE</t>
        </is>
      </c>
      <c r="J20" s="35" t="n"/>
      <c r="K20" s="34" t="inlineStr">
        <is>
          <t>Ejecutar en el Sprint 2 al implementar el módulo en Django (caso del plan del Sprint 2).</t>
        </is>
      </c>
      <c r="L20" s="34" t="inlineStr">
        <is>
          <t>Plataforma (Django + PostgreSQL/PostGIS + AWS)</t>
        </is>
      </c>
      <c r="M20" s="34" t="inlineStr">
        <is>
          <t>RF-05; LIT-68</t>
        </is>
      </c>
      <c r="N20" s="33" t="inlineStr">
        <is>
          <t>2</t>
        </is>
      </c>
    </row>
    <row r="21" ht="20.85" customHeight="1" s="26">
      <c r="A21" s="32" t="inlineStr">
        <is>
          <t>FN-002</t>
        </is>
      </c>
      <c r="B21" s="33" t="inlineStr">
        <is>
          <t>unitario</t>
        </is>
      </c>
      <c r="C21" s="34" t="inlineStr">
        <is>
          <t>Nicolas Diaz</t>
        </is>
      </c>
      <c r="D21" s="34" t="inlineStr">
        <is>
          <t>Validación de área de la finca</t>
        </is>
      </c>
      <c r="E21" s="34" t="inlineStr">
        <is>
          <t>fincas/validators.py</t>
        </is>
      </c>
      <c r="F21" s="34" t="inlineStr">
        <is>
          <t>área negativa / cero / válida</t>
        </is>
      </c>
      <c r="G21" s="34" t="inlineStr">
        <is>
          <t>Rechaza áreas inválidas; acepta válidas</t>
        </is>
      </c>
      <c r="H21" s="34" t="inlineStr">
        <is>
          <t>Pendiente de ejecución</t>
        </is>
      </c>
      <c r="I21" s="33" t="inlineStr">
        <is>
          <t>PENDIENTE</t>
        </is>
      </c>
      <c r="J21" s="35" t="n"/>
      <c r="K21" s="34" t="inlineStr">
        <is>
          <t>Ejecutar en el Sprint 2 al implementar el módulo en Django (caso del plan del Sprint 2).</t>
        </is>
      </c>
      <c r="L21" s="34" t="inlineStr">
        <is>
          <t>Plataforma (Django + PostgreSQL/PostGIS + AWS)</t>
        </is>
      </c>
      <c r="M21" s="34" t="inlineStr">
        <is>
          <t>RF-05; RNF-02; LIT-68</t>
        </is>
      </c>
      <c r="N21" s="33" t="inlineStr">
        <is>
          <t>2</t>
        </is>
      </c>
    </row>
    <row r="22" ht="20.85" customHeight="1" s="26">
      <c r="A22" s="32" t="inlineStr">
        <is>
          <t>FN-003</t>
        </is>
      </c>
      <c r="B22" s="33" t="inlineStr">
        <is>
          <t>unitario</t>
        </is>
      </c>
      <c r="C22" s="34" t="inlineStr">
        <is>
          <t>Juan Camilo Lopez</t>
        </is>
      </c>
      <c r="D22" s="34" t="inlineStr">
        <is>
          <t>Validación de origen Colombia/Nariño</t>
        </is>
      </c>
      <c r="E22" s="34" t="inlineStr">
        <is>
          <t>fincas/validators.py</t>
        </is>
      </c>
      <c r="F22" s="34" t="inlineStr">
        <is>
          <t>coordenadas en Ecuador y en Nariño</t>
        </is>
      </c>
      <c r="G22" s="34" t="inlineStr">
        <is>
          <t>Rechaza Ecuador (RN-10); acepta Nariño</t>
        </is>
      </c>
      <c r="H22" s="34" t="inlineStr">
        <is>
          <t>Pendiente de ejecución</t>
        </is>
      </c>
      <c r="I22" s="33" t="inlineStr">
        <is>
          <t>PENDIENTE</t>
        </is>
      </c>
      <c r="J22" s="35" t="n"/>
      <c r="K22" s="34" t="inlineStr">
        <is>
          <t>Ejecutar en el Sprint 2 al implementar el módulo en Django (caso del plan del Sprint 2).</t>
        </is>
      </c>
      <c r="L22" s="34" t="inlineStr">
        <is>
          <t>Plataforma (Django + PostgreSQL/PostGIS + AWS)</t>
        </is>
      </c>
      <c r="M22" s="34" t="inlineStr">
        <is>
          <t>RF-05; RN-2; RN-10; LIT-68</t>
        </is>
      </c>
      <c r="N22" s="33" t="inlineStr">
        <is>
          <t>2</t>
        </is>
      </c>
    </row>
    <row r="23" ht="20.85" customHeight="1" s="26">
      <c r="A23" s="32" t="inlineStr">
        <is>
          <t>FN-004</t>
        </is>
      </c>
      <c r="B23" s="33" t="inlineStr">
        <is>
          <t>de integración</t>
        </is>
      </c>
      <c r="C23" s="34" t="inlineStr">
        <is>
          <t>Juan Camilo Lopez</t>
        </is>
      </c>
      <c r="D23" s="34" t="inlineStr">
        <is>
          <t>Carga de certificado con vigencia</t>
        </is>
      </c>
      <c r="E23" s="34" t="inlineStr">
        <is>
          <t>fincas/services.py, CertificadoService</t>
        </is>
      </c>
      <c r="F23" s="34" t="inlineStr">
        <is>
          <t>archivo + tipo + fecha de vigencia</t>
        </is>
      </c>
      <c r="G23" s="34" t="inlineStr">
        <is>
          <t>Certificado guardado con estado de validación</t>
        </is>
      </c>
      <c r="H23" s="34" t="inlineStr">
        <is>
          <t>Pendiente de ejecución</t>
        </is>
      </c>
      <c r="I23" s="33" t="inlineStr">
        <is>
          <t>PENDIENTE</t>
        </is>
      </c>
      <c r="J23" s="35" t="n"/>
      <c r="K23" s="34" t="inlineStr">
        <is>
          <t>Ejecutar en el Sprint 2 al implementar el módulo en Django (caso del plan del Sprint 2).</t>
        </is>
      </c>
      <c r="L23" s="34" t="inlineStr">
        <is>
          <t>Plataforma (Django + PostgreSQL/PostGIS + AWS)</t>
        </is>
      </c>
      <c r="M23" s="34" t="inlineStr">
        <is>
          <t>RF-06; RN-3; LIT-69</t>
        </is>
      </c>
      <c r="N23" s="33" t="inlineStr">
        <is>
          <t>2</t>
        </is>
      </c>
    </row>
    <row r="24" ht="20.85" customHeight="1" s="26">
      <c r="A24" s="32" t="inlineStr">
        <is>
          <t>FN-005</t>
        </is>
      </c>
      <c r="B24" s="33" t="inlineStr">
        <is>
          <t>de integración</t>
        </is>
      </c>
      <c r="C24" s="34" t="inlineStr">
        <is>
          <t>Nicolas Diaz</t>
        </is>
      </c>
      <c r="D24" s="34" t="inlineStr">
        <is>
          <t>Estado EUDR bloqueado por certificado vencido</t>
        </is>
      </c>
      <c r="E24" s="34" t="inlineStr">
        <is>
          <t>fincas/services.py, calcular_eudr()</t>
        </is>
      </c>
      <c r="F24" s="34" t="inlineStr">
        <is>
          <t>finca con certificado vencido</t>
        </is>
      </c>
      <c r="G24" s="34" t="inlineStr">
        <is>
          <t>estado_eudr = BLOQUEADA; no permite publicar</t>
        </is>
      </c>
      <c r="H24" s="34" t="inlineStr">
        <is>
          <t>Pendiente de ejecución</t>
        </is>
      </c>
      <c r="I24" s="33" t="inlineStr">
        <is>
          <t>PENDIENTE</t>
        </is>
      </c>
      <c r="J24" s="35" t="n"/>
      <c r="K24" s="34" t="inlineStr">
        <is>
          <t>Ejecutar en el Sprint 2 al implementar el módulo en Django (caso del plan del Sprint 2).</t>
        </is>
      </c>
      <c r="L24" s="34" t="inlineStr">
        <is>
          <t>Plataforma (Django + PostgreSQL/PostGIS + AWS)</t>
        </is>
      </c>
      <c r="M24" s="34" t="inlineStr">
        <is>
          <t>RF-06; RF-07; LIT-70</t>
        </is>
      </c>
      <c r="N24" s="33" t="inlineStr">
        <is>
          <t>2</t>
        </is>
      </c>
    </row>
    <row r="25" ht="20.85" customHeight="1" s="26">
      <c r="A25" s="32" t="inlineStr">
        <is>
          <t>FN-006</t>
        </is>
      </c>
      <c r="B25" s="33" t="inlineStr">
        <is>
          <t>unitario</t>
        </is>
      </c>
      <c r="C25" s="34" t="inlineStr">
        <is>
          <t>Juan Camilo Lopez</t>
        </is>
      </c>
      <c r="D25" s="34" t="inlineStr">
        <is>
          <t>Registro del perfil del vendedor</t>
        </is>
      </c>
      <c r="E25" s="34" t="inlineStr">
        <is>
          <t>fincas/models.py, PerfilVendedor</t>
        </is>
      </c>
      <c r="F25" s="34" t="inlineStr">
        <is>
          <t>capacidad, producto, variedad, calidad</t>
        </is>
      </c>
      <c r="G25" s="34" t="inlineStr">
        <is>
          <t>Perfil creado y reutilizable</t>
        </is>
      </c>
      <c r="H25" s="34" t="inlineStr">
        <is>
          <t>Pendiente de ejecución</t>
        </is>
      </c>
      <c r="I25" s="33" t="inlineStr">
        <is>
          <t>PENDIENTE</t>
        </is>
      </c>
      <c r="J25" s="35" t="n"/>
      <c r="K25" s="34" t="inlineStr">
        <is>
          <t>Ejecutar en el Sprint 2 al implementar el módulo en Django (caso del plan del Sprint 2).</t>
        </is>
      </c>
      <c r="L25" s="34" t="inlineStr">
        <is>
          <t>Plataforma (Django + PostgreSQL/PostGIS + AWS)</t>
        </is>
      </c>
      <c r="M25" s="34" t="inlineStr">
        <is>
          <t>RF-08; LIT-71</t>
        </is>
      </c>
      <c r="N25" s="33" t="inlineStr">
        <is>
          <t>2</t>
        </is>
      </c>
    </row>
    <row r="26" ht="20.85" customHeight="1" s="26">
      <c r="A26" s="32" t="inlineStr">
        <is>
          <t>FN-007</t>
        </is>
      </c>
      <c r="B26" s="33" t="inlineStr">
        <is>
          <t>de integración</t>
        </is>
      </c>
      <c r="C26" s="34" t="inlineStr">
        <is>
          <t>Jenifer Urbano</t>
        </is>
      </c>
      <c r="D26" s="34" t="inlineStr">
        <is>
          <t>Registrar una finca nueva con su polígono.</t>
        </is>
      </c>
      <c r="E26" s="34" t="inlineStr">
        <is>
          <t>src/store/DemoStore.tsx, reducer: registerFarm</t>
        </is>
      </c>
      <c r="F26" s="34" t="inlineStr">
        <is>
          <t>Finca Prueba, Sandoná, 1.800 m, 3,5 ha, polígono de 3 vértices</t>
        </is>
      </c>
      <c r="G26" s="34" t="inlineStr">
        <is>
          <t>Finca creada con su polígono y área, en estado EUDR 'pendiente' hasta validar certificados</t>
        </is>
      </c>
      <c r="H26" s="34" t="inlineStr">
        <is>
          <t>Finca "Finca Prueba" creada con 3 vértices, 3.5 ha, estado EUDR "pending"</t>
        </is>
      </c>
      <c r="I26" s="33" t="inlineStr">
        <is>
          <t>SI</t>
        </is>
      </c>
      <c r="J26" s="35" t="n">
        <v>46294</v>
      </c>
      <c r="K26" s="34" t="inlineStr">
        <is>
          <t>Ejecutado automáticamente (pruebas/ejecutar.mjs). El responsable debe re-ejecutarlo y confirmar.</t>
        </is>
      </c>
      <c r="L26" s="34" t="inlineStr">
        <is>
          <t>Prototipo React (demo estática)</t>
        </is>
      </c>
      <c r="M26" s="34" t="inlineStr">
        <is>
          <t>RF-05; RF-07; LIT-68</t>
        </is>
      </c>
      <c r="N26" s="33" t="inlineStr">
        <is>
          <t>2</t>
        </is>
      </c>
    </row>
    <row r="27" ht="30.55" customHeight="1" s="26">
      <c r="A27" s="32" t="inlineStr">
        <is>
          <t>FN-008</t>
        </is>
      </c>
      <c r="B27" s="33" t="inlineStr">
        <is>
          <t>de integración</t>
        </is>
      </c>
      <c r="C27" s="34" t="inlineStr">
        <is>
          <t>Juan Camilo Lopez</t>
        </is>
      </c>
      <c r="D27" s="34" t="inlineStr">
        <is>
          <t>Habilitar la finca (EUDR) al validar origen y no deforestación.</t>
        </is>
      </c>
      <c r="E27" s="34" t="inlineStr">
        <is>
          <t>src/store/DemoStore.tsx, reducer: uploadCertificate + reviewCertificate (recomputeEudr)</t>
        </is>
      </c>
      <c r="F27" s="34" t="inlineStr">
        <is>
          <t>certificados de origen y no deforestación vigentes hasta 2027</t>
        </is>
      </c>
      <c r="G27" s="34" t="inlineStr">
        <is>
          <t>Cargados sin validar: 'pendiente'; validados ambos: 'habilitada' (RF-07)</t>
        </is>
      </c>
      <c r="H27" s="34" t="inlineStr">
        <is>
          <t>Con certificados cargados sin validar: "pending"; tras validar origen y no deforestación: "enabled"</t>
        </is>
      </c>
      <c r="I27" s="33" t="inlineStr">
        <is>
          <t>SI</t>
        </is>
      </c>
      <c r="J27" s="35" t="n">
        <v>46294</v>
      </c>
      <c r="K27" s="34" t="inlineStr">
        <is>
          <t>Ejecutado automáticamente (pruebas/ejecutar.mjs). El responsable debe re-ejecutarlo y confirmar.</t>
        </is>
      </c>
      <c r="L27" s="34" t="inlineStr">
        <is>
          <t>Prototipo React (demo estática)</t>
        </is>
      </c>
      <c r="M27" s="34" t="inlineStr">
        <is>
          <t>RF-06; RF-07; RN-2; RN-3; LIT-69; LIT-70</t>
        </is>
      </c>
      <c r="N27" s="33" t="inlineStr">
        <is>
          <t>2</t>
        </is>
      </c>
    </row>
    <row r="28" ht="20.85" customHeight="1" s="26">
      <c r="A28" s="32" t="inlineStr">
        <is>
          <t>FN-009</t>
        </is>
      </c>
      <c r="B28" s="33" t="inlineStr">
        <is>
          <t>de integración</t>
        </is>
      </c>
      <c r="C28" s="34" t="inlineStr">
        <is>
          <t>Jenifer Urbano</t>
        </is>
      </c>
      <c r="D28" s="34" t="inlineStr">
        <is>
          <t>Mantener la finca sin habilitar si un certificado obligatorio se rechaza.</t>
        </is>
      </c>
      <c r="E28" s="34" t="inlineStr">
        <is>
          <t>src/store/DemoStore.tsx, reducer: reviewCertificate (recomputeEudr)</t>
        </is>
      </c>
      <c r="F28" s="34" t="inlineStr">
        <is>
          <t>origen validado y no deforestación rechazado</t>
        </is>
      </c>
      <c r="G28" s="34" t="inlineStr">
        <is>
          <t>La finca no queda habilitada para publicar</t>
        </is>
      </c>
      <c r="H28" s="34" t="inlineStr">
        <is>
          <t>Origen validado + no deforestación rechazado → EUDR "pending"</t>
        </is>
      </c>
      <c r="I28" s="33" t="inlineStr">
        <is>
          <t>SI</t>
        </is>
      </c>
      <c r="J28" s="35" t="n">
        <v>46294</v>
      </c>
      <c r="K28" s="34" t="inlineStr">
        <is>
          <t>Ejecutado automáticamente (pruebas/ejecutar.mjs). El responsable debe re-ejecutarlo y confirmar.</t>
        </is>
      </c>
      <c r="L28" s="34" t="inlineStr">
        <is>
          <t>Prototipo React (demo estática)</t>
        </is>
      </c>
      <c r="M28" s="34" t="inlineStr">
        <is>
          <t>RF-06; RF-07; LIT-70</t>
        </is>
      </c>
      <c r="N28" s="33" t="inlineStr">
        <is>
          <t>2</t>
        </is>
      </c>
    </row>
    <row r="29" ht="40.25" customHeight="1" s="26">
      <c r="A29" s="32" t="inlineStr">
        <is>
          <t>FN-010</t>
        </is>
      </c>
      <c r="B29" s="33" t="inlineStr">
        <is>
          <t>de integración</t>
        </is>
      </c>
      <c r="C29" s="34" t="inlineStr">
        <is>
          <t>Juan Camilo Lopez</t>
        </is>
      </c>
      <c r="D29" s="34" t="inlineStr">
        <is>
          <t>No habilitar una finca con certificados vencidos.</t>
        </is>
      </c>
      <c r="E29" s="34" t="inlineStr">
        <is>
          <t>src/store/DemoStore.tsx, reducer: reviewCertificate (recomputeEudr)</t>
        </is>
      </c>
      <c r="F29" s="34" t="inlineStr">
        <is>
          <t>certificados validados con vigencia 31/01/2026 y 31/03/2026 (vencidos)</t>
        </is>
      </c>
      <c r="G29" s="34" t="inlineStr">
        <is>
          <t>La finca no queda habilitada: los certificados deben tener vigencia (RF-06; mismo criterio que FN-005)</t>
        </is>
      </c>
      <c r="H29" s="34" t="inlineStr">
        <is>
          <t>Certificados vencidos (31/01/2026 y 31/03/2026) validados → EUDR "enabled"; la función recomputeEudr no consulta validUntil</t>
        </is>
      </c>
      <c r="I29" s="33" t="inlineStr">
        <is>
          <t>NO</t>
        </is>
      </c>
      <c r="J29" s="35" t="n">
        <v>46294</v>
      </c>
      <c r="K29" s="34" t="inlineStr">
        <is>
          <t>Defecto: recomputeEudr() no compara validUntil con la fecha actual. Corregir para que un certificado vencido deje la finca 'pendiente' o 'bloqueada' y volver a ejecutar FN-010 y FN-005.</t>
        </is>
      </c>
      <c r="L29" s="34" t="inlineStr">
        <is>
          <t>Prototipo React (demo estática)</t>
        </is>
      </c>
      <c r="M29" s="34" t="inlineStr">
        <is>
          <t>RF-06; RF-07; LIT-69; LIT-70</t>
        </is>
      </c>
      <c r="N29" s="33" t="inlineStr">
        <is>
          <t>2</t>
        </is>
      </c>
    </row>
    <row r="30" ht="20.85" customHeight="1" s="26">
      <c r="A30" s="32" t="inlineStr">
        <is>
          <t>FN-011</t>
        </is>
      </c>
      <c r="B30" s="33" t="inlineStr">
        <is>
          <t>del sistema</t>
        </is>
      </c>
      <c r="C30" s="34" t="inlineStr">
        <is>
          <t>Nicolas Diaz</t>
        </is>
      </c>
      <c r="D30" s="34" t="inlineStr">
        <is>
          <t>Registrar una finca con datos inválidos en el formulario por pasos.</t>
        </is>
      </c>
      <c r="E30" s="34" t="inlineStr">
        <is>
          <t>src/pages/owner/Owner.tsx, registro de finca</t>
        </is>
      </c>
      <c r="F30" s="34" t="inlineStr">
        <is>
          <t>nombre vacío; área 0; altitud vacía; polígono con 2 vértices; latitud 95</t>
        </is>
      </c>
      <c r="G30" s="34" t="inlineStr">
        <is>
          <t>Cada campo muestra su error asociado y no deja avanzar ni guardar (RNF-02)</t>
        </is>
      </c>
      <c r="H30" s="34" t="inlineStr">
        <is>
          <t>Pendiente de ejecución</t>
        </is>
      </c>
      <c r="I30" s="33" t="inlineStr">
        <is>
          <t>PENDIENTE</t>
        </is>
      </c>
      <c r="J30" s="35" t="n"/>
      <c r="K30" s="34" t="inlineStr">
        <is>
          <t>Ejecutar manualmente sobre el prototipo (npm run dev) y adjuntar pantallazos como evidencia.</t>
        </is>
      </c>
      <c r="L30" s="34" t="inlineStr">
        <is>
          <t>Prototipo React (demo estática)</t>
        </is>
      </c>
      <c r="M30" s="34" t="inlineStr">
        <is>
          <t>RF-05; RNF-02; LIT-68</t>
        </is>
      </c>
      <c r="N30" s="33" t="inlineStr">
        <is>
          <t>2</t>
        </is>
      </c>
    </row>
    <row r="31" ht="20.85" customHeight="1" s="26">
      <c r="A31" s="32" t="inlineStr">
        <is>
          <t>FN-012</t>
        </is>
      </c>
      <c r="B31" s="33" t="inlineStr">
        <is>
          <t>del sistema</t>
        </is>
      </c>
      <c r="C31" s="34" t="inlineStr">
        <is>
          <t>Nicolas Diaz</t>
        </is>
      </c>
      <c r="D31" s="34" t="inlineStr">
        <is>
          <t>Cargar un certificado con el componente de arrastrar y soltar.</t>
        </is>
      </c>
      <c r="E31" s="34" t="inlineStr">
        <is>
          <t>src/pages/owner/Owner.tsx, Dropzone</t>
        </is>
      </c>
      <c r="F31" s="34" t="inlineStr">
        <is>
          <t>PDF de origen con vigencia futura; intento con fecha pasada</t>
        </is>
      </c>
      <c r="G31" s="34" t="inlineStr">
        <is>
          <t>El certificado queda 'pendiente de validación'; la fecha pasada no se acepta (RF-06)</t>
        </is>
      </c>
      <c r="H31" s="34" t="inlineStr">
        <is>
          <t>Pendiente de ejecución</t>
        </is>
      </c>
      <c r="I31" s="33" t="inlineStr">
        <is>
          <t>PENDIENTE</t>
        </is>
      </c>
      <c r="J31" s="35" t="n"/>
      <c r="K31" s="34" t="inlineStr">
        <is>
          <t>Ejecutar manualmente sobre el prototipo (npm run dev) y adjuntar pantallazos como evidencia.</t>
        </is>
      </c>
      <c r="L31" s="34" t="inlineStr">
        <is>
          <t>Prototipo React (demo estática)</t>
        </is>
      </c>
      <c r="M31" s="34" t="inlineStr">
        <is>
          <t>RF-06; RN-3; LIT-69</t>
        </is>
      </c>
      <c r="N31" s="33" t="inlineStr">
        <is>
          <t>2</t>
        </is>
      </c>
    </row>
    <row r="32" ht="20.85" customHeight="1" s="26">
      <c r="A32" s="32" t="inlineStr">
        <is>
          <t>MK-001</t>
        </is>
      </c>
      <c r="B32" s="33" t="inlineStr">
        <is>
          <t>unitario</t>
        </is>
      </c>
      <c r="C32" s="34" t="inlineStr">
        <is>
          <t>Jenifer Urbano</t>
        </is>
      </c>
      <c r="D32" s="34" t="inlineStr">
        <is>
          <t>Validación de cantidad mínima de lote (100 kg)</t>
        </is>
      </c>
      <c r="E32" s="34" t="inlineStr">
        <is>
          <t>marketplace/validators.py</t>
        </is>
      </c>
      <c r="F32" s="34" t="inlineStr">
        <is>
          <t>99 kg, 100 kg, 150 kg</t>
        </is>
      </c>
      <c r="G32" s="34" t="inlineStr">
        <is>
          <t>Rechaza &lt; 100 kg (RN-1); acepta &gt;= 100 kg</t>
        </is>
      </c>
      <c r="H32" s="34" t="inlineStr">
        <is>
          <t>Pendiente de ejecución</t>
        </is>
      </c>
      <c r="I32" s="33" t="inlineStr">
        <is>
          <t>PENDIENTE</t>
        </is>
      </c>
      <c r="J32" s="35" t="n"/>
      <c r="K32" s="34" t="inlineStr">
        <is>
          <t>Ejecutar en el Sprint 3 al implementar el módulo en Django (caso del plan del Sprint 2).</t>
        </is>
      </c>
      <c r="L32" s="34" t="inlineStr">
        <is>
          <t>Plataforma (Django + PostgreSQL/PostGIS + AWS)</t>
        </is>
      </c>
      <c r="M32" s="34" t="inlineStr">
        <is>
          <t>RF-09; RN-1; LIT-72</t>
        </is>
      </c>
      <c r="N32" s="33" t="inlineStr">
        <is>
          <t>3</t>
        </is>
      </c>
    </row>
    <row r="33" ht="20.85" customHeight="1" s="26">
      <c r="A33" s="32" t="inlineStr">
        <is>
          <t>MK-002</t>
        </is>
      </c>
      <c r="B33" s="33" t="inlineStr">
        <is>
          <t>unitario</t>
        </is>
      </c>
      <c r="C33" s="34" t="inlineStr">
        <is>
          <t>Nicolas Diaz</t>
        </is>
      </c>
      <c r="D33" s="34" t="inlineStr">
        <is>
          <t>Modalidad de precio fijo / a acordar</t>
        </is>
      </c>
      <c r="E33" s="34" t="inlineStr">
        <is>
          <t>marketplace/models.py, Lote</t>
        </is>
      </c>
      <c r="F33" s="34" t="inlineStr">
        <is>
          <t>precio fijo y precio 'a acordar'</t>
        </is>
      </c>
      <c r="G33" s="34" t="inlineStr">
        <is>
          <t>Lote creado con la modalidad correcta (RN-4)</t>
        </is>
      </c>
      <c r="H33" s="34" t="inlineStr">
        <is>
          <t>Pendiente de ejecución</t>
        </is>
      </c>
      <c r="I33" s="33" t="inlineStr">
        <is>
          <t>PENDIENTE</t>
        </is>
      </c>
      <c r="J33" s="35" t="n"/>
      <c r="K33" s="34" t="inlineStr">
        <is>
          <t>Ejecutar en el Sprint 3 al implementar el módulo en Django (caso del plan del Sprint 2).</t>
        </is>
      </c>
      <c r="L33" s="34" t="inlineStr">
        <is>
          <t>Plataforma (Django + PostgreSQL/PostGIS + AWS)</t>
        </is>
      </c>
      <c r="M33" s="34" t="inlineStr">
        <is>
          <t>RF-09; RN-4; LIT-72</t>
        </is>
      </c>
      <c r="N33" s="33" t="inlineStr">
        <is>
          <t>3</t>
        </is>
      </c>
    </row>
    <row r="34" ht="20.85" customHeight="1" s="26">
      <c r="A34" s="32" t="inlineStr">
        <is>
          <t>MK-003</t>
        </is>
      </c>
      <c r="B34" s="33" t="inlineStr">
        <is>
          <t>unitario</t>
        </is>
      </c>
      <c r="C34" s="34" t="inlineStr">
        <is>
          <t>Juan Camilo Lopez</t>
        </is>
      </c>
      <c r="D34" s="34" t="inlineStr">
        <is>
          <t>Bloqueo de publicación sin certificados válidos</t>
        </is>
      </c>
      <c r="E34" s="34" t="inlineStr">
        <is>
          <t>marketplace/services.py</t>
        </is>
      </c>
      <c r="F34" s="34" t="inlineStr">
        <is>
          <t>vendedor con finca BLOQUEADA</t>
        </is>
      </c>
      <c r="G34" s="34" t="inlineStr">
        <is>
          <t>No permite publicar el lote</t>
        </is>
      </c>
      <c r="H34" s="34" t="inlineStr">
        <is>
          <t>Pendiente de ejecución</t>
        </is>
      </c>
      <c r="I34" s="33" t="inlineStr">
        <is>
          <t>PENDIENTE</t>
        </is>
      </c>
      <c r="J34" s="35" t="n"/>
      <c r="K34" s="34" t="inlineStr">
        <is>
          <t>Ejecutar en el Sprint 3 al implementar el módulo en Django (caso del plan del Sprint 2).</t>
        </is>
      </c>
      <c r="L34" s="34" t="inlineStr">
        <is>
          <t>Plataforma (Django + PostgreSQL/PostGIS + AWS)</t>
        </is>
      </c>
      <c r="M34" s="34" t="inlineStr">
        <is>
          <t>RF-07; RF-09; LIT-72</t>
        </is>
      </c>
      <c r="N34" s="33" t="inlineStr">
        <is>
          <t>3</t>
        </is>
      </c>
    </row>
    <row r="35" ht="20.85" customHeight="1" s="26">
      <c r="A35" s="32" t="inlineStr">
        <is>
          <t>MK-004</t>
        </is>
      </c>
      <c r="B35" s="33" t="inlineStr">
        <is>
          <t>de integración</t>
        </is>
      </c>
      <c r="C35" s="34" t="inlineStr">
        <is>
          <t>Jenifer Urbano</t>
        </is>
      </c>
      <c r="D35" s="34" t="inlineStr">
        <is>
          <t>Búsqueda y filtros de lotes</t>
        </is>
      </c>
      <c r="E35" s="34" t="inlineStr">
        <is>
          <t>marketplace/views.py, filtrar()</t>
        </is>
      </c>
      <c r="F35" s="34" t="inlineStr">
        <is>
          <t>producto=café, origen=Nariño, cantidad&gt;=100</t>
        </is>
      </c>
      <c r="G35" s="34" t="inlineStr">
        <is>
          <t>Devuelve solo lotes que cumplen y sin datos privados</t>
        </is>
      </c>
      <c r="H35" s="34" t="inlineStr">
        <is>
          <t>Pendiente de ejecución</t>
        </is>
      </c>
      <c r="I35" s="33" t="inlineStr">
        <is>
          <t>PENDIENTE</t>
        </is>
      </c>
      <c r="J35" s="35" t="n"/>
      <c r="K35" s="34" t="inlineStr">
        <is>
          <t>Ejecutar en el Sprint 3 al implementar el módulo en Django (caso del plan del Sprint 2).</t>
        </is>
      </c>
      <c r="L35" s="34" t="inlineStr">
        <is>
          <t>Plataforma (Django + PostgreSQL/PostGIS + AWS)</t>
        </is>
      </c>
      <c r="M35" s="34" t="inlineStr">
        <is>
          <t>RF-10; RN-13; RNF-07; LIT-73</t>
        </is>
      </c>
      <c r="N35" s="33" t="inlineStr">
        <is>
          <t>3</t>
        </is>
      </c>
    </row>
    <row r="36" ht="20.85" customHeight="1" s="26">
      <c r="A36" s="32" t="inlineStr">
        <is>
          <t>MK-005</t>
        </is>
      </c>
      <c r="B36" s="33" t="inlineStr">
        <is>
          <t>de integración</t>
        </is>
      </c>
      <c r="C36" s="34" t="inlineStr">
        <is>
          <t>Jenifer Urbano</t>
        </is>
      </c>
      <c r="D36" s="34" t="inlineStr">
        <is>
          <t>Chat de negociación comprador-vendedor</t>
        </is>
      </c>
      <c r="E36" s="34" t="inlineStr">
        <is>
          <t>marketplace/services.py, NegociacionService</t>
        </is>
      </c>
      <c r="F36" s="34" t="inlineStr">
        <is>
          <t>mensajes entre comprador y vendedor</t>
        </is>
      </c>
      <c r="G36" s="34" t="inlineStr">
        <is>
          <t>Mensajes almacenados en orden dentro de la negociación</t>
        </is>
      </c>
      <c r="H36" s="34" t="inlineStr">
        <is>
          <t>Pendiente de ejecución</t>
        </is>
      </c>
      <c r="I36" s="33" t="inlineStr">
        <is>
          <t>PENDIENTE</t>
        </is>
      </c>
      <c r="J36" s="35" t="n"/>
      <c r="K36" s="34" t="inlineStr">
        <is>
          <t>Ejecutar en el Sprint 3 al implementar el módulo en Django (caso del plan del Sprint 2).</t>
        </is>
      </c>
      <c r="L36" s="34" t="inlineStr">
        <is>
          <t>Plataforma (Django + PostgreSQL/PostGIS + AWS)</t>
        </is>
      </c>
      <c r="M36" s="34" t="inlineStr">
        <is>
          <t>RF-11; LIT-74</t>
        </is>
      </c>
      <c r="N36" s="33" t="inlineStr">
        <is>
          <t>3</t>
        </is>
      </c>
    </row>
    <row r="37" ht="20.85" customHeight="1" s="26">
      <c r="A37" s="32" t="inlineStr">
        <is>
          <t>MK-006</t>
        </is>
      </c>
      <c r="B37" s="33" t="inlineStr">
        <is>
          <t>de integración</t>
        </is>
      </c>
      <c r="C37" s="34" t="inlineStr">
        <is>
          <t>Nicolas Diaz</t>
        </is>
      </c>
      <c r="D37" s="34" t="inlineStr">
        <is>
          <t>Transacción inmutable tras el acuerdo</t>
        </is>
      </c>
      <c r="E37" s="34" t="inlineStr">
        <is>
          <t>marketplace/services.py, crear_transaccion()</t>
        </is>
      </c>
      <c r="F37" s="34" t="inlineStr">
        <is>
          <t>intento de editar transacción acordada</t>
        </is>
      </c>
      <c r="G37" s="34" t="inlineStr">
        <is>
          <t>Cambio rechazado (RN-6); requiere disputa</t>
        </is>
      </c>
      <c r="H37" s="34" t="inlineStr">
        <is>
          <t>Pendiente de ejecución</t>
        </is>
      </c>
      <c r="I37" s="33" t="inlineStr">
        <is>
          <t>PENDIENTE</t>
        </is>
      </c>
      <c r="J37" s="35" t="n"/>
      <c r="K37" s="34" t="inlineStr">
        <is>
          <t>Ejecutar en el Sprint 3 al implementar el módulo en Django (caso del plan del Sprint 2).</t>
        </is>
      </c>
      <c r="L37" s="34" t="inlineStr">
        <is>
          <t>Plataforma (Django + PostgreSQL/PostGIS + AWS)</t>
        </is>
      </c>
      <c r="M37" s="34" t="inlineStr">
        <is>
          <t>RF-12; RN-6; RNF-03; LIT-75</t>
        </is>
      </c>
      <c r="N37" s="33" t="inlineStr">
        <is>
          <t>3</t>
        </is>
      </c>
    </row>
    <row r="38" ht="20.85" customHeight="1" s="26">
      <c r="A38" s="32" t="inlineStr">
        <is>
          <t>MK-007</t>
        </is>
      </c>
      <c r="B38" s="33" t="inlineStr">
        <is>
          <t>unitario</t>
        </is>
      </c>
      <c r="C38" s="34" t="inlineStr">
        <is>
          <t>Juan Camilo Lopez</t>
        </is>
      </c>
      <c r="D38" s="34" t="inlineStr">
        <is>
          <t>Validar la cantidad mínima de un lote en el límite de 100 kg.</t>
        </is>
      </c>
      <c r="E38" s="34" t="inlineStr">
        <is>
          <t>src/domain/rules.ts, validateQuantity()</t>
        </is>
      </c>
      <c r="F38" s="34" t="inlineStr">
        <is>
          <t>99 kg, 100 kg y 150 kg</t>
        </is>
      </c>
      <c r="G38" s="34" t="inlineStr">
        <is>
          <t>99 kg se rechaza por mínimo (RN-1); 100 kg y 150 kg se aceptan</t>
        </is>
      </c>
      <c r="H38" s="34" t="inlineStr">
        <is>
          <t>99 kg → "min"; 100 kg → null; 150 kg → null</t>
        </is>
      </c>
      <c r="I38" s="33" t="inlineStr">
        <is>
          <t>SI</t>
        </is>
      </c>
      <c r="J38" s="35" t="n">
        <v>46294</v>
      </c>
      <c r="K38" s="34" t="inlineStr">
        <is>
          <t>Ejecutado automáticamente (pruebas/ejecutar.mjs). El responsable debe re-ejecutarlo y confirmar.</t>
        </is>
      </c>
      <c r="L38" s="34" t="inlineStr">
        <is>
          <t>Prototipo React (demo estática)</t>
        </is>
      </c>
      <c r="M38" s="34" t="inlineStr">
        <is>
          <t>RF-09; RN-1; LIT-72</t>
        </is>
      </c>
      <c r="N38" s="33" t="inlineStr">
        <is>
          <t>3</t>
        </is>
      </c>
    </row>
    <row r="39" ht="20.85" customHeight="1" s="26">
      <c r="A39" s="32" t="inlineStr">
        <is>
          <t>MK-008</t>
        </is>
      </c>
      <c r="B39" s="33" t="inlineStr">
        <is>
          <t>unitario</t>
        </is>
      </c>
      <c r="C39" s="34" t="inlineStr">
        <is>
          <t>Jenifer Urbano</t>
        </is>
      </c>
      <c r="D39" s="34" t="inlineStr">
        <is>
          <t>Validar cantidad vacía, no numérica y mayor que la disponible del lote.</t>
        </is>
      </c>
      <c r="E39" s="34" t="inlineStr">
        <is>
          <t>src/domain/rules.ts, validateQuantity()</t>
        </is>
      </c>
      <c r="F39" s="34" t="inlineStr">
        <is>
          <t>vacío, NaN, 600 kg con 500 disponibles, 500 kg con 500 disponibles</t>
        </is>
      </c>
      <c r="G39" s="34" t="inlineStr">
        <is>
          <t>Vacío y NaN: campo requerido; 600 &gt; 500: excede lo disponible; 500 = 500: válido</t>
        </is>
      </c>
      <c r="H39" s="34" t="inlineStr">
        <is>
          <t>vacío → "required"; NaN → "required"; 600 con máx. 500 → "exceeds"; 500 con máx. 500 → null</t>
        </is>
      </c>
      <c r="I39" s="33" t="inlineStr">
        <is>
          <t>SI</t>
        </is>
      </c>
      <c r="J39" s="35" t="n">
        <v>46294</v>
      </c>
      <c r="K39" s="34" t="inlineStr">
        <is>
          <t>Ejecutado automáticamente (pruebas/ejecutar.mjs). El responsable debe re-ejecutarlo y confirmar.</t>
        </is>
      </c>
      <c r="L39" s="34" t="inlineStr">
        <is>
          <t>Prototipo React (demo estática)</t>
        </is>
      </c>
      <c r="M39" s="34" t="inlineStr">
        <is>
          <t>RF-09; RNF-02; LIT-72</t>
        </is>
      </c>
      <c r="N39" s="33" t="inlineStr">
        <is>
          <t>3</t>
        </is>
      </c>
    </row>
    <row r="40" ht="20.85" customHeight="1" s="26">
      <c r="A40" s="32" t="inlineStr">
        <is>
          <t>MK-009</t>
        </is>
      </c>
      <c r="B40" s="33" t="inlineStr">
        <is>
          <t>de integración</t>
        </is>
      </c>
      <c r="C40" s="34" t="inlineStr">
        <is>
          <t>Jenifer Urbano</t>
        </is>
      </c>
      <c r="D40" s="34" t="inlineStr">
        <is>
          <t>Publicar un lote y registrarlo en la auditoría.</t>
        </is>
      </c>
      <c r="E40" s="34" t="inlineStr">
        <is>
          <t>src/store/DemoStore.tsx, reducer: publishLot</t>
        </is>
      </c>
      <c r="F40" s="34" t="inlineStr">
        <is>
          <t>vendedor publica 300 kg de Castillo a 7 €/kg (negociable)</t>
        </is>
      </c>
      <c r="G40" s="34" t="inlineStr">
        <is>
          <t>Lote nuevo con código consecutivo NAR-n, estado publicado y entrada de auditoría del vendedor</t>
        </is>
      </c>
      <c r="H40" s="34" t="inlineStr">
        <is>
          <t>Lote NAR-2410 (published); lotes 9 → 10; auditoría "publish" por u-seller</t>
        </is>
      </c>
      <c r="I40" s="33" t="inlineStr">
        <is>
          <t>SI</t>
        </is>
      </c>
      <c r="J40" s="35" t="n">
        <v>46294</v>
      </c>
      <c r="K40" s="34" t="inlineStr">
        <is>
          <t>Ejecutado automáticamente (pruebas/ejecutar.mjs). El responsable debe re-ejecutarlo y confirmar.</t>
        </is>
      </c>
      <c r="L40" s="34" t="inlineStr">
        <is>
          <t>Prototipo React (demo estática)</t>
        </is>
      </c>
      <c r="M40" s="34" t="inlineStr">
        <is>
          <t>RF-09; RNF-11; LIT-72</t>
        </is>
      </c>
      <c r="N40" s="33" t="inlineStr">
        <is>
          <t>3</t>
        </is>
      </c>
    </row>
    <row r="41" ht="30.55" customHeight="1" s="26">
      <c r="A41" s="32" t="inlineStr">
        <is>
          <t>MK-010</t>
        </is>
      </c>
      <c r="B41" s="33" t="inlineStr">
        <is>
          <t>de integración</t>
        </is>
      </c>
      <c r="C41" s="34" t="inlineStr">
        <is>
          <t>Jenifer Urbano</t>
        </is>
      </c>
      <c r="D41" s="34" t="inlineStr">
        <is>
          <t>Iniciar una negociación sobre un lote publicado.</t>
        </is>
      </c>
      <c r="E41" s="34" t="inlineStr">
        <is>
          <t>src/store/DemoStore.tsx, reducer: startNegotiation</t>
        </is>
      </c>
      <c r="F41" s="34" t="inlineStr">
        <is>
          <t>comprador abre negociación del lote publicado</t>
        </is>
      </c>
      <c r="G41" s="34" t="inlineStr">
        <is>
          <t>Negociación abierta con la oferta inicial igual al precio y cantidad del lote; el lote pasa a 'en negociación'</t>
        </is>
      </c>
      <c r="H41" s="34" t="inlineStr">
        <is>
          <t>Negociación open; oferta inicial 7 €/kg × 300 kg; lote pasa a "negotiating"</t>
        </is>
      </c>
      <c r="I41" s="33" t="inlineStr">
        <is>
          <t>SI</t>
        </is>
      </c>
      <c r="J41" s="35" t="n">
        <v>46294</v>
      </c>
      <c r="K41" s="34" t="inlineStr">
        <is>
          <t>Ejecutado automáticamente (pruebas/ejecutar.mjs). El responsable debe re-ejecutarlo y confirmar.</t>
        </is>
      </c>
      <c r="L41" s="34" t="inlineStr">
        <is>
          <t>Prototipo React (demo estática)</t>
        </is>
      </c>
      <c r="M41" s="34" t="inlineStr">
        <is>
          <t>RF-11; LIT-74</t>
        </is>
      </c>
      <c r="N41" s="33" t="inlineStr">
        <is>
          <t>3</t>
        </is>
      </c>
    </row>
    <row r="42" ht="20.85" customHeight="1" s="26">
      <c r="A42" s="32" t="inlineStr">
        <is>
          <t>MK-011</t>
        </is>
      </c>
      <c r="B42" s="33" t="inlineStr">
        <is>
          <t>de integración</t>
        </is>
      </c>
      <c r="C42" s="34" t="inlineStr">
        <is>
          <t>Juan Camilo Lopez</t>
        </is>
      </c>
      <c r="D42" s="34" t="inlineStr">
        <is>
          <t>Enviar mensajes en el chat de negociación y conservar su orden.</t>
        </is>
      </c>
      <c r="E42" s="34" t="inlineStr">
        <is>
          <t>src/store/DemoStore.tsx, reducer: sendMessage</t>
        </is>
      </c>
      <c r="F42" s="34" t="inlineStr">
        <is>
          <t>3 mensajes alternados comprador / vendedor</t>
        </is>
      </c>
      <c r="G42" s="34" t="inlineStr">
        <is>
          <t>Los 3 mensajes quedan en la negociación en el orden en que se enviaron</t>
        </is>
      </c>
      <c r="H42" s="34" t="inlineStr">
        <is>
          <t>3 mensajes en orden: u-buyer, u-seller, u-buyer</t>
        </is>
      </c>
      <c r="I42" s="33" t="inlineStr">
        <is>
          <t>SI</t>
        </is>
      </c>
      <c r="J42" s="35" t="n">
        <v>46294</v>
      </c>
      <c r="K42" s="34" t="inlineStr">
        <is>
          <t>Ejecutado automáticamente (pruebas/ejecutar.mjs). El responsable debe re-ejecutarlo y confirmar.</t>
        </is>
      </c>
      <c r="L42" s="34" t="inlineStr">
        <is>
          <t>Prototipo React (demo estática)</t>
        </is>
      </c>
      <c r="M42" s="34" t="inlineStr">
        <is>
          <t>RF-11; LIT-74</t>
        </is>
      </c>
      <c r="N42" s="33" t="inlineStr">
        <is>
          <t>3</t>
        </is>
      </c>
    </row>
    <row r="43" ht="30.55" customHeight="1" s="26">
      <c r="A43" s="32" t="inlineStr">
        <is>
          <t>MK-012</t>
        </is>
      </c>
      <c r="B43" s="33" t="inlineStr">
        <is>
          <t>de integración</t>
        </is>
      </c>
      <c r="C43" s="34" t="inlineStr">
        <is>
          <t>Nicolas Diaz</t>
        </is>
      </c>
      <c r="D43" s="34" t="inlineStr">
        <is>
          <t>Cerrar el acuerdo y crear la transacción de venta.</t>
        </is>
      </c>
      <c r="E43" s="34" t="inlineStr">
        <is>
          <t>src/store/DemoStore.tsx, reducer: updateOffer + agree</t>
        </is>
      </c>
      <c r="F43" s="34" t="inlineStr">
        <is>
          <t>contraoferta 6,50 €/kg × 300 kg y acuerdo</t>
        </is>
      </c>
      <c r="G43" s="34" t="inlineStr">
        <is>
          <t>Transacción con los valores acordados, etapa 'acordada' y dinero bloqueado; negociación 'acordada'; lote 'vendido'</t>
        </is>
      </c>
      <c r="H43" s="34" t="inlineStr">
        <is>
          <t>Transacción TX-0959: 300 kg a 6.5 €/kg, etapa "agreed", escrow "held"; negociación "agreed"; lote "sold"</t>
        </is>
      </c>
      <c r="I43" s="33" t="inlineStr">
        <is>
          <t>SI</t>
        </is>
      </c>
      <c r="J43" s="35" t="n">
        <v>46294</v>
      </c>
      <c r="K43" s="34" t="inlineStr">
        <is>
          <t>Ejecutado automáticamente (pruebas/ejecutar.mjs). El responsable debe re-ejecutarlo y confirmar.</t>
        </is>
      </c>
      <c r="L43" s="34" t="inlineStr">
        <is>
          <t>Prototipo React (demo estática)</t>
        </is>
      </c>
      <c r="M43" s="34" t="inlineStr">
        <is>
          <t>RF-12; RF-13; RN-4; LIT-75</t>
        </is>
      </c>
      <c r="N43" s="33" t="inlineStr">
        <is>
          <t>3</t>
        </is>
      </c>
    </row>
    <row r="44" ht="30.55" customHeight="1" s="26">
      <c r="A44" s="32" t="inlineStr">
        <is>
          <t>MK-013</t>
        </is>
      </c>
      <c r="B44" s="33" t="inlineStr">
        <is>
          <t>de integración</t>
        </is>
      </c>
      <c r="C44" s="34" t="inlineStr">
        <is>
          <t>Juan Camilo Lopez</t>
        </is>
      </c>
      <c r="D44" s="34" t="inlineStr">
        <is>
          <t>Intentar modificar una transacción ya acordada.</t>
        </is>
      </c>
      <c r="E44" s="34" t="inlineStr">
        <is>
          <t>src/store/DemoStore.tsx, reducer: updateOffer + agree</t>
        </is>
      </c>
      <c r="F44" s="34" t="inlineStr">
        <is>
          <t>nueva oferta 1 €/kg × 100 kg y segundo acuerdo sobre la misma negociación</t>
        </is>
      </c>
      <c r="G44" s="34" t="inlineStr">
        <is>
          <t>No cambia ningún valor de la transacción ni se crea una segunda (RN-6, inmutable)</t>
        </is>
      </c>
      <c r="H44" s="34" t="inlineStr">
        <is>
          <t>Tras intentar cambiar la oferta a 1 €/kg × 100 kg: transacción sigue en 6.5 €/kg × 300 kg; segunda transacción creada: no</t>
        </is>
      </c>
      <c r="I44" s="33" t="inlineStr">
        <is>
          <t>SI</t>
        </is>
      </c>
      <c r="J44" s="35" t="n">
        <v>46294</v>
      </c>
      <c r="K44" s="34" t="inlineStr">
        <is>
          <t>Ejecutado automáticamente (pruebas/ejecutar.mjs). El responsable debe re-ejecutarlo y confirmar.</t>
        </is>
      </c>
      <c r="L44" s="34" t="inlineStr">
        <is>
          <t>Prototipo React (demo estática)</t>
        </is>
      </c>
      <c r="M44" s="34" t="inlineStr">
        <is>
          <t>RF-12; RN-6; RNF-03; LIT-75</t>
        </is>
      </c>
      <c r="N44" s="33" t="inlineStr">
        <is>
          <t>3</t>
        </is>
      </c>
    </row>
    <row r="45" ht="30.55" customHeight="1" s="26">
      <c r="A45" s="32" t="inlineStr">
        <is>
          <t>MK-014</t>
        </is>
      </c>
      <c r="B45" s="33" t="inlineStr">
        <is>
          <t>del sistema</t>
        </is>
      </c>
      <c r="C45" s="34" t="inlineStr">
        <is>
          <t>Jenifer Urbano</t>
        </is>
      </c>
      <c r="D45" s="34" t="inlineStr">
        <is>
          <t>Publicar un lote desde el formulario del vendedor.</t>
        </is>
      </c>
      <c r="E45" s="34" t="inlineStr">
        <is>
          <t>src/pages/seller/Seller.tsx, publicar lote</t>
        </is>
      </c>
      <c r="F45" s="34" t="inlineStr">
        <is>
          <t>99 kg; precio vacío; luego 150 kg a 8 €/kg</t>
        </is>
      </c>
      <c r="G45" s="34" t="inlineStr">
        <is>
          <t>Con 99 kg o sin precio muestra el error y no publica; con datos válidos publica. Solo se ofrecen fincas habilitadas EUDR</t>
        </is>
      </c>
      <c r="H45" s="34" t="inlineStr">
        <is>
          <t>Pendiente de ejecución</t>
        </is>
      </c>
      <c r="I45" s="33" t="inlineStr">
        <is>
          <t>PENDIENTE</t>
        </is>
      </c>
      <c r="J45" s="35" t="n"/>
      <c r="K45" s="34" t="inlineStr">
        <is>
          <t>Ejecutar manualmente sobre el prototipo (npm run dev) y adjuntar pantallazos como evidencia.</t>
        </is>
      </c>
      <c r="L45" s="34" t="inlineStr">
        <is>
          <t>Prototipo React (demo estática)</t>
        </is>
      </c>
      <c r="M45" s="34" t="inlineStr">
        <is>
          <t>RF-07; RF-09; RN-1; RNF-02; LIT-72</t>
        </is>
      </c>
      <c r="N45" s="33" t="inlineStr">
        <is>
          <t>3</t>
        </is>
      </c>
    </row>
    <row r="46" ht="49.95" customHeight="1" s="26">
      <c r="A46" s="32" t="inlineStr">
        <is>
          <t>MK-015</t>
        </is>
      </c>
      <c r="B46" s="33" t="inlineStr">
        <is>
          <t>del sistema</t>
        </is>
      </c>
      <c r="C46" s="34" t="inlineStr">
        <is>
          <t>Juan Camilo Lopez</t>
        </is>
      </c>
      <c r="D46" s="34" t="inlineStr">
        <is>
          <t>Filtrar el catálogo de lotes, un filtro a la vez y luego combinados (pulsar 'Limpiar' entre pasos).</t>
        </is>
      </c>
      <c r="E46" s="34" t="inlineStr">
        <is>
          <t>src/pages/buyer/Buyer.tsx, catálogo</t>
        </is>
      </c>
      <c r="F46" s="34" t="inlineStr">
        <is>
          <t>1) producto = café  2) cantidad mínima = 1000  3) precio máx. = 9  4) café + mínimo 500 + máx. 10 (escribir números sin separador de miles)</t>
        </is>
      </c>
      <c r="G46" s="34" t="inlineStr">
        <is>
          <t>1) NAR-2401, NAR-2402, NAR-2404  2) NAR-2401, NAR-2403  3) NAR-2403, NAR-2404  4) NAR-2404. Nunca aparecen los vendidos (NAR-2405 a NAR-2409); 'Limpiar' vuelve a mostrar los 4 disponibles (RF-10)</t>
        </is>
      </c>
      <c r="H46" s="34" t="inlineStr">
        <is>
          <t>Pendiente de ejecución</t>
        </is>
      </c>
      <c r="I46" s="33" t="inlineStr">
        <is>
          <t>PENDIENTE</t>
        </is>
      </c>
      <c r="J46" s="35" t="n"/>
      <c r="K46" s="34" t="inlineStr">
        <is>
          <t>Ejecutar manualmente sobre el prototipo (npm run dev) y adjuntar pantallazos como evidencia.</t>
        </is>
      </c>
      <c r="L46" s="34" t="inlineStr">
        <is>
          <t>Prototipo React (demo estática)</t>
        </is>
      </c>
      <c r="M46" s="34" t="inlineStr">
        <is>
          <t>RF-10; LIT-73</t>
        </is>
      </c>
      <c r="N46" s="33" t="inlineStr">
        <is>
          <t>3</t>
        </is>
      </c>
    </row>
    <row r="47" ht="20.85" customHeight="1" s="26">
      <c r="A47" s="32" t="inlineStr">
        <is>
          <t>MK-016</t>
        </is>
      </c>
      <c r="B47" s="33" t="inlineStr">
        <is>
          <t>de integración</t>
        </is>
      </c>
      <c r="C47" s="34" t="inlineStr">
        <is>
          <t>Nicolas Diaz</t>
        </is>
      </c>
      <c r="D47" s="34" t="inlineStr">
        <is>
          <t>Comprobar que la API del catálogo no expone datos de la finca.</t>
        </is>
      </c>
      <c r="E47" s="34" t="inlineStr">
        <is>
          <t>marketplace/serializers.py, LoteSerializer</t>
        </is>
      </c>
      <c r="F47" s="34" t="inlineStr">
        <is>
          <t>GET /api/lotes/ como comprador sin negociación</t>
        </is>
      </c>
      <c r="G47" s="34" t="inlineStr">
        <is>
          <t>El JSON no incluye finca, municipio, altitud ni polígono (RN-13)</t>
        </is>
      </c>
      <c r="H47" s="34" t="inlineStr">
        <is>
          <t>Pendiente de ejecución</t>
        </is>
      </c>
      <c r="I47" s="33" t="inlineStr">
        <is>
          <t>PENDIENTE</t>
        </is>
      </c>
      <c r="J47" s="35" t="n"/>
      <c r="K47" s="34" t="inlineStr">
        <is>
          <t>Ejecutar en el Sprint 3 al implementar el módulo en la plataforma.</t>
        </is>
      </c>
      <c r="L47" s="34" t="inlineStr">
        <is>
          <t>Plataforma (Django + PostgreSQL/PostGIS + AWS)</t>
        </is>
      </c>
      <c r="M47" s="34" t="inlineStr">
        <is>
          <t>RF-03; RN-13; RNF-09; LIT-66</t>
        </is>
      </c>
      <c r="N47" s="33" t="inlineStr">
        <is>
          <t>3</t>
        </is>
      </c>
    </row>
    <row r="48" ht="20.85" customHeight="1" s="26">
      <c r="A48" s="32" t="inlineStr">
        <is>
          <t>TX-001</t>
        </is>
      </c>
      <c r="B48" s="33" t="inlineStr">
        <is>
          <t>unitario</t>
        </is>
      </c>
      <c r="C48" s="34" t="inlineStr">
        <is>
          <t>Nicolas Diaz</t>
        </is>
      </c>
      <c r="D48" s="34" t="inlineStr">
        <is>
          <t>Cálculo de comisión 1%</t>
        </is>
      </c>
      <c r="E48" s="34" t="inlineStr">
        <is>
          <t>transacciones/services.py, calcular_comision()</t>
        </is>
      </c>
      <c r="F48" s="34" t="inlineStr">
        <is>
          <t>precio=1.000.000</t>
        </is>
      </c>
      <c r="G48" s="34" t="inlineStr">
        <is>
          <t>comisión=10.000 (1%)</t>
        </is>
      </c>
      <c r="H48" s="34" t="inlineStr">
        <is>
          <t>Pendiente de ejecución</t>
        </is>
      </c>
      <c r="I48" s="33" t="inlineStr">
        <is>
          <t>PENDIENTE</t>
        </is>
      </c>
      <c r="J48" s="35" t="n"/>
      <c r="K48" s="34" t="inlineStr">
        <is>
          <t>Ejecutar en el Sprint 4 al implementar el módulo en Django (caso del plan del Sprint 2).</t>
        </is>
      </c>
      <c r="L48" s="34" t="inlineStr">
        <is>
          <t>Plataforma (Django + PostgreSQL/PostGIS + AWS)</t>
        </is>
      </c>
      <c r="M48" s="34" t="inlineStr">
        <is>
          <t>RF-14; RN-11; RNF-01; LIT-77</t>
        </is>
      </c>
      <c r="N48" s="33" t="inlineStr">
        <is>
          <t>4</t>
        </is>
      </c>
    </row>
    <row r="49" ht="20.85" customHeight="1" s="26">
      <c r="A49" s="32" t="inlineStr">
        <is>
          <t>TX-002</t>
        </is>
      </c>
      <c r="B49" s="33" t="inlineStr">
        <is>
          <t>unitario</t>
        </is>
      </c>
      <c r="C49" s="34" t="inlineStr">
        <is>
          <t>Juan Camilo Lopez</t>
        </is>
      </c>
      <c r="D49" s="34" t="inlineStr">
        <is>
          <t>Comisión con valor mínimo aplicado</t>
        </is>
      </c>
      <c r="E49" s="34" t="inlineStr">
        <is>
          <t>transacciones/services.py</t>
        </is>
      </c>
      <c r="F49" s="34" t="inlineStr">
        <is>
          <t>precio muy bajo (&lt; mínimo/1%)</t>
        </is>
      </c>
      <c r="G49" s="34" t="inlineStr">
        <is>
          <t>Aplica el valor mínimo de comisión (RN-11)</t>
        </is>
      </c>
      <c r="H49" s="34" t="inlineStr">
        <is>
          <t>Pendiente de ejecución</t>
        </is>
      </c>
      <c r="I49" s="33" t="inlineStr">
        <is>
          <t>PENDIENTE</t>
        </is>
      </c>
      <c r="J49" s="35" t="n"/>
      <c r="K49" s="34" t="inlineStr">
        <is>
          <t>Ejecutar en el Sprint 4 al implementar el módulo en Django (caso del plan del Sprint 2).</t>
        </is>
      </c>
      <c r="L49" s="34" t="inlineStr">
        <is>
          <t>Plataforma (Django + PostgreSQL/PostGIS + AWS)</t>
        </is>
      </c>
      <c r="M49" s="34" t="inlineStr">
        <is>
          <t>RF-14; RN-11; RNF-01; LIT-77</t>
        </is>
      </c>
      <c r="N49" s="33" t="inlineStr">
        <is>
          <t>4</t>
        </is>
      </c>
    </row>
    <row r="50" ht="20.85" customHeight="1" s="26">
      <c r="A50" s="32" t="inlineStr">
        <is>
          <t>TX-003</t>
        </is>
      </c>
      <c r="B50" s="33" t="inlineStr">
        <is>
          <t>de integración</t>
        </is>
      </c>
      <c r="C50" s="34" t="inlineStr">
        <is>
          <t>Jenifer Urbano</t>
        </is>
      </c>
      <c r="D50" s="34" t="inlineStr">
        <is>
          <t>Bloqueo de dinero (escrow)</t>
        </is>
      </c>
      <c r="E50" s="34" t="inlineStr">
        <is>
          <t>transacciones/services.py, EscrowService</t>
        </is>
      </c>
      <c r="F50" s="34" t="inlineStr">
        <is>
          <t>transacción acordada</t>
        </is>
      </c>
      <c r="G50" s="34" t="inlineStr">
        <is>
          <t>escrow en estado BLOQUEADO con el monto</t>
        </is>
      </c>
      <c r="H50" s="34" t="inlineStr">
        <is>
          <t>Pendiente de ejecución</t>
        </is>
      </c>
      <c r="I50" s="33" t="inlineStr">
        <is>
          <t>PENDIENTE</t>
        </is>
      </c>
      <c r="J50" s="35" t="n"/>
      <c r="K50" s="34" t="inlineStr">
        <is>
          <t>Ejecutar en el Sprint 4 al implementar el módulo en Django (caso del plan del Sprint 2).</t>
        </is>
      </c>
      <c r="L50" s="34" t="inlineStr">
        <is>
          <t>Plataforma (Django + PostgreSQL/PostGIS + AWS)</t>
        </is>
      </c>
      <c r="M50" s="34" t="inlineStr">
        <is>
          <t>RF-13; RN-7; LIT-76</t>
        </is>
      </c>
      <c r="N50" s="33" t="inlineStr">
        <is>
          <t>4</t>
        </is>
      </c>
    </row>
    <row r="51" ht="20.85" customHeight="1" s="26">
      <c r="A51" s="32" t="inlineStr">
        <is>
          <t>TX-004</t>
        </is>
      </c>
      <c r="B51" s="33" t="inlineStr">
        <is>
          <t>de integración</t>
        </is>
      </c>
      <c r="C51" s="34" t="inlineStr">
        <is>
          <t>Nicolas Diaz</t>
        </is>
      </c>
      <c r="D51" s="34" t="inlineStr">
        <is>
          <t>Liberación de escrow al aceptar producto</t>
        </is>
      </c>
      <c r="E51" s="34" t="inlineStr">
        <is>
          <t>transacciones/services.py</t>
        </is>
      </c>
      <c r="F51" s="34" t="inlineStr">
        <is>
          <t>veredicto ACEPTA</t>
        </is>
      </c>
      <c r="G51" s="34" t="inlineStr">
        <is>
          <t>escrow LIBERADO al vendedor (RN-7)</t>
        </is>
      </c>
      <c r="H51" s="34" t="inlineStr">
        <is>
          <t>Pendiente de ejecución</t>
        </is>
      </c>
      <c r="I51" s="33" t="inlineStr">
        <is>
          <t>PENDIENTE</t>
        </is>
      </c>
      <c r="J51" s="35" t="n"/>
      <c r="K51" s="34" t="inlineStr">
        <is>
          <t>Ejecutar en el Sprint 4 al implementar el módulo en Django (caso del plan del Sprint 2).</t>
        </is>
      </c>
      <c r="L51" s="34" t="inlineStr">
        <is>
          <t>Plataforma (Django + PostgreSQL/PostGIS + AWS)</t>
        </is>
      </c>
      <c r="M51" s="34" t="inlineStr">
        <is>
          <t>RF-13; RN-7; LIT-76</t>
        </is>
      </c>
      <c r="N51" s="33" t="inlineStr">
        <is>
          <t>4</t>
        </is>
      </c>
    </row>
    <row r="52" ht="20.85" customHeight="1" s="26">
      <c r="A52" s="32" t="inlineStr">
        <is>
          <t>TX-005</t>
        </is>
      </c>
      <c r="B52" s="33" t="inlineStr">
        <is>
          <t>de integración</t>
        </is>
      </c>
      <c r="C52" s="34" t="inlineStr">
        <is>
          <t>Juan Camilo Lopez</t>
        </is>
      </c>
      <c r="D52" s="34" t="inlineStr">
        <is>
          <t>Gestión de disputa</t>
        </is>
      </c>
      <c r="E52" s="34" t="inlineStr">
        <is>
          <t>transacciones/services.py, DisputaService</t>
        </is>
      </c>
      <c r="F52" s="34" t="inlineStr">
        <is>
          <t>transacción + motivo</t>
        </is>
      </c>
      <c r="G52" s="34" t="inlineStr">
        <is>
          <t>Disputa creada; pago congelado hasta resolución</t>
        </is>
      </c>
      <c r="H52" s="34" t="inlineStr">
        <is>
          <t>Pendiente de ejecución</t>
        </is>
      </c>
      <c r="I52" s="33" t="inlineStr">
        <is>
          <t>PENDIENTE</t>
        </is>
      </c>
      <c r="J52" s="35" t="n"/>
      <c r="K52" s="34" t="inlineStr">
        <is>
          <t>Ejecutar en el Sprint 4 al implementar el módulo en Django (caso del plan del Sprint 2).</t>
        </is>
      </c>
      <c r="L52" s="34" t="inlineStr">
        <is>
          <t>Plataforma (Django + PostgreSQL/PostGIS + AWS)</t>
        </is>
      </c>
      <c r="M52" s="34" t="inlineStr">
        <is>
          <t>RF-15; LIT-78</t>
        </is>
      </c>
      <c r="N52" s="33" t="inlineStr">
        <is>
          <t>4</t>
        </is>
      </c>
    </row>
    <row r="53" ht="20.85" customHeight="1" s="26">
      <c r="A53" s="32" t="inlineStr">
        <is>
          <t>TX-006</t>
        </is>
      </c>
      <c r="B53" s="33" t="inlineStr">
        <is>
          <t>unitario</t>
        </is>
      </c>
      <c r="C53" s="34" t="inlineStr">
        <is>
          <t>Jenifer Urbano</t>
        </is>
      </c>
      <c r="D53" s="34" t="inlineStr">
        <is>
          <t>Calcular la comisión del 1% cuando supera el valor mínimo.</t>
        </is>
      </c>
      <c r="E53" s="34" t="inlineStr">
        <is>
          <t>src/domain/rules.ts, commission()</t>
        </is>
      </c>
      <c r="F53" s="34" t="inlineStr">
        <is>
          <t>monto = 10.000 €</t>
        </is>
      </c>
      <c r="G53" s="34" t="inlineStr">
        <is>
          <t>Comisión = 100 € (1%, RN-11)</t>
        </is>
      </c>
      <c r="H53" s="34" t="inlineStr">
        <is>
          <t>commission(10000) = 100 €</t>
        </is>
      </c>
      <c r="I53" s="33" t="inlineStr">
        <is>
          <t>SI</t>
        </is>
      </c>
      <c r="J53" s="35" t="n">
        <v>46294</v>
      </c>
      <c r="K53" s="34" t="inlineStr">
        <is>
          <t>Ejecutado automáticamente (pruebas/ejecutar.mjs). El responsable debe re-ejecutarlo y confirmar.</t>
        </is>
      </c>
      <c r="L53" s="34" t="inlineStr">
        <is>
          <t>Prototipo React (demo estática)</t>
        </is>
      </c>
      <c r="M53" s="34" t="inlineStr">
        <is>
          <t>RF-14; RN-11; RNF-01; LIT-77</t>
        </is>
      </c>
      <c r="N53" s="33" t="inlineStr">
        <is>
          <t>4</t>
        </is>
      </c>
    </row>
    <row r="54" ht="40.25" customHeight="1" s="26">
      <c r="A54" s="32" t="inlineStr">
        <is>
          <t>TX-007</t>
        </is>
      </c>
      <c r="B54" s="33" t="inlineStr">
        <is>
          <t>unitario</t>
        </is>
      </c>
      <c r="C54" s="34" t="inlineStr">
        <is>
          <t>Juan Camilo Lopez</t>
        </is>
      </c>
      <c r="D54" s="34" t="inlineStr">
        <is>
          <t>Aplicar el valor mínimo de comisión y verificar el punto de corte.</t>
        </is>
      </c>
      <c r="E54" s="34" t="inlineStr">
        <is>
          <t>src/domain/rules.ts, commission(), MIN_COMMISSION_EUR</t>
        </is>
      </c>
      <c r="F54" s="34" t="inlineStr">
        <is>
          <t>montos 1.000 €, 2.500 € y 3.000 €</t>
        </is>
      </c>
      <c r="G54" s="34" t="inlineStr">
        <is>
          <t>1.000 € → 25 €; 2.500 € → 25 € (1% = mínimo); 3.000 € → 30 €. El mínimo de 25 € es un VALOR DE EJEMPLO: el cliente no lo ha definido</t>
        </is>
      </c>
      <c r="H54" s="34" t="inlineStr">
        <is>
          <t>1000 € → 25 €; 2500 € → 25 €; 3000 € → 30 €</t>
        </is>
      </c>
      <c r="I54" s="33" t="inlineStr">
        <is>
          <t>SI</t>
        </is>
      </c>
      <c r="J54" s="35" t="n">
        <v>46294</v>
      </c>
      <c r="K54" s="34" t="inlineStr">
        <is>
          <t>Ejecutado automáticamente (pruebas/ejecutar.mjs). El responsable debe re-ejecutarlo y confirmar. Confirmar con el stakeholder el valor mínimo real de la comisión y actualizar el caso.</t>
        </is>
      </c>
      <c r="L54" s="34" t="inlineStr">
        <is>
          <t>Prototipo React (demo estática)</t>
        </is>
      </c>
      <c r="M54" s="34" t="inlineStr">
        <is>
          <t>RF-14; RN-11; RNF-01; LIT-77</t>
        </is>
      </c>
      <c r="N54" s="33" t="inlineStr">
        <is>
          <t>4</t>
        </is>
      </c>
    </row>
    <row r="55" ht="49.95" customHeight="1" s="26">
      <c r="A55" s="32" t="inlineStr">
        <is>
          <t>TX-008</t>
        </is>
      </c>
      <c r="B55" s="33" t="inlineStr">
        <is>
          <t>unitario</t>
        </is>
      </c>
      <c r="C55" s="34" t="inlineStr">
        <is>
          <t>Juan Camilo Lopez</t>
        </is>
      </c>
      <c r="D55" s="34" t="inlineStr">
        <is>
          <t>Calcular los totales de una transacción: subtotal, comisión a cada parte, monto bloqueado y monto que recibe el vendedor.</t>
        </is>
      </c>
      <c r="E55" s="34" t="inlineStr">
        <is>
          <t>src/domain/rules.ts, transactionTotals()</t>
        </is>
      </c>
      <c r="F55" s="34" t="inlineStr">
        <is>
          <t>600 kg × 6,80 €/kg</t>
        </is>
      </c>
      <c r="G55" s="34" t="inlineStr">
        <is>
          <t>Subtotal 4.080 €; comisión 40,80 € a comprador y a vendedor; comprador bloquea 4.120,80 €; vendedor recibe 4.039,20 €; plataforma 81,60 € (exacto al centavo, RNF-01)</t>
        </is>
      </c>
      <c r="H55" s="34" t="inlineStr">
        <is>
          <t>subtotal 4080; comisión c/u 40.800000000000004; comprador paga 4120.8; vendedor recibe 4039.2; plataforma 81.60000000000001</t>
        </is>
      </c>
      <c r="I55" s="33" t="inlineStr">
        <is>
          <t>SI</t>
        </is>
      </c>
      <c r="J55" s="35" t="n">
        <v>46294</v>
      </c>
      <c r="K55" s="34" t="inlineStr">
        <is>
          <t>Ejecutado automáticamente (pruebas/ejecutar.mjs). El responsable debe re-ejecutarlo y confirmar. Pasa al centavo, pero el cálculo en coma flotante deja residuos (40,800000000000004). En el backend usar Decimal y redondear a 2 decimales (ver TX-011).</t>
        </is>
      </c>
      <c r="L55" s="34" t="inlineStr">
        <is>
          <t>Prototipo React (demo estática)</t>
        </is>
      </c>
      <c r="M55" s="34" t="inlineStr">
        <is>
          <t>RF-14; RN-11; RNF-01; LIT-77</t>
        </is>
      </c>
      <c r="N55" s="33" t="inlineStr">
        <is>
          <t>4</t>
        </is>
      </c>
    </row>
    <row r="56" ht="30.55" customHeight="1" s="26">
      <c r="A56" s="32" t="inlineStr">
        <is>
          <t>TX-009</t>
        </is>
      </c>
      <c r="B56" s="33" t="inlineStr">
        <is>
          <t>de integración</t>
        </is>
      </c>
      <c r="C56" s="34" t="inlineStr">
        <is>
          <t>Nicolas Diaz</t>
        </is>
      </c>
      <c r="D56" s="34" t="inlineStr">
        <is>
          <t>Bloquear el dinero del comprador (escrow) al acordar la venta.</t>
        </is>
      </c>
      <c r="E56" s="34" t="inlineStr">
        <is>
          <t>src/store/DemoStore.tsx (agree) + src/domain/rules.ts (transactionTotals)</t>
        </is>
      </c>
      <c r="F56" s="34" t="inlineStr">
        <is>
          <t>transacción de 300 kg × 6,50 €/kg</t>
        </is>
      </c>
      <c r="G56" s="34" t="inlineStr">
        <is>
          <t>Escrow 'bloqueado'; el comprador deja 1.975 € (1.950 € + comisión mínima de ejemplo de 25 €) (RN-7)</t>
        </is>
      </c>
      <c r="H56" s="34" t="inlineStr">
        <is>
          <t>Escrow "held" desde el acuerdo; comprador deja bloqueado 1975 € (subtotal 1950 + comisión 25)</t>
        </is>
      </c>
      <c r="I56" s="33" t="inlineStr">
        <is>
          <t>SI</t>
        </is>
      </c>
      <c r="J56" s="35" t="n">
        <v>46294</v>
      </c>
      <c r="K56" s="34" t="inlineStr">
        <is>
          <t>Ejecutado automáticamente (pruebas/ejecutar.mjs). El responsable debe re-ejecutarlo y confirmar. Confirmar con el stakeholder el valor mínimo real de la comisión.</t>
        </is>
      </c>
      <c r="L56" s="34" t="inlineStr">
        <is>
          <t>Prototipo React (demo estática)</t>
        </is>
      </c>
      <c r="M56" s="34" t="inlineStr">
        <is>
          <t>RF-13; RN-7; RN-11; LIT-76</t>
        </is>
      </c>
      <c r="N56" s="33" t="inlineStr">
        <is>
          <t>4</t>
        </is>
      </c>
    </row>
    <row r="57" ht="40.25" customHeight="1" s="26">
      <c r="A57" s="32" t="inlineStr">
        <is>
          <t>TX-010</t>
        </is>
      </c>
      <c r="B57" s="33" t="inlineStr">
        <is>
          <t>de integración</t>
        </is>
      </c>
      <c r="C57" s="34" t="inlineStr">
        <is>
          <t>Juan Camilo Lopez</t>
        </is>
      </c>
      <c r="D57" s="34" t="inlineStr">
        <is>
          <t>Resolver una disputa liberando o reembolsando, una sola vez.</t>
        </is>
      </c>
      <c r="E57" s="34" t="inlineStr">
        <is>
          <t>src/store/DemoStore.tsx, reducer: resolveDispute</t>
        </is>
      </c>
      <c r="F57" s="34" t="inlineStr">
        <is>
          <t>resolución 'liberar'; resolución 'reembolsar'; segunda resolución</t>
        </is>
      </c>
      <c r="G57" s="34" t="inlineStr">
        <is>
          <t>Liberar → pago al vendedor; reembolsar → devolución al comprador; ambas dejan la transacción 'resuelta'; una disputa resuelta no se puede volver a resolver</t>
        </is>
      </c>
      <c r="H57" s="34" t="inlineStr">
        <is>
          <t>Liberar → escrow "released" (resolved); reembolsar → "refunded" (resolved); resolver de nuevo → "refunded"</t>
        </is>
      </c>
      <c r="I57" s="33" t="inlineStr">
        <is>
          <t>SI</t>
        </is>
      </c>
      <c r="J57" s="35" t="n">
        <v>46294</v>
      </c>
      <c r="K57" s="34" t="inlineStr">
        <is>
          <t>Ejecutado automáticamente (pruebas/ejecutar.mjs). El responsable debe re-ejecutarlo y confirmar.</t>
        </is>
      </c>
      <c r="L57" s="34" t="inlineStr">
        <is>
          <t>Prototipo React (demo estática)</t>
        </is>
      </c>
      <c r="M57" s="34" t="inlineStr">
        <is>
          <t>RF-15; LIT-78</t>
        </is>
      </c>
      <c r="N57" s="33" t="inlineStr">
        <is>
          <t>4</t>
        </is>
      </c>
    </row>
    <row r="58" ht="30.55" customHeight="1" s="26">
      <c r="A58" s="32" t="inlineStr">
        <is>
          <t>TX-011</t>
        </is>
      </c>
      <c r="B58" s="33" t="inlineStr">
        <is>
          <t>del sistema</t>
        </is>
      </c>
      <c r="C58" s="34" t="inlineStr">
        <is>
          <t>Nicolas Diaz</t>
        </is>
      </c>
      <c r="D58" s="34" t="inlineStr">
        <is>
          <t>Revisar montos y comisiones en el detalle de una transacción.</t>
        </is>
      </c>
      <c r="E58" s="34" t="inlineStr">
        <is>
          <t>src/pages/shared/Transactions.tsx</t>
        </is>
      </c>
      <c r="F58" s="34" t="inlineStr">
        <is>
          <t>transacción en curso vista como comprador y como vendedor</t>
        </is>
      </c>
      <c r="G58" s="34" t="inlineStr">
        <is>
          <t>Se ven subtotal, comisión de cada parte, monto bloqueado y equivalente en COP marcados como 'valor de ejemplo' (RF-14)</t>
        </is>
      </c>
      <c r="H58" s="34" t="inlineStr">
        <is>
          <t>Pendiente de ejecución</t>
        </is>
      </c>
      <c r="I58" s="33" t="inlineStr">
        <is>
          <t>PENDIENTE</t>
        </is>
      </c>
      <c r="J58" s="35" t="n"/>
      <c r="K58" s="34" t="inlineStr">
        <is>
          <t>Ejecutar manualmente sobre el prototipo (npm run dev) y adjuntar pantallazos como evidencia.</t>
        </is>
      </c>
      <c r="L58" s="34" t="inlineStr">
        <is>
          <t>Prototipo React (demo estática)</t>
        </is>
      </c>
      <c r="M58" s="34" t="inlineStr">
        <is>
          <t>RF-13; RF-14; LIT-76; LIT-77</t>
        </is>
      </c>
      <c r="N58" s="33" t="inlineStr">
        <is>
          <t>4</t>
        </is>
      </c>
    </row>
    <row r="59" ht="20.85" customHeight="1" s="26">
      <c r="A59" s="32" t="inlineStr">
        <is>
          <t>TX-012</t>
        </is>
      </c>
      <c r="B59" s="33" t="inlineStr">
        <is>
          <t>unitario</t>
        </is>
      </c>
      <c r="C59" s="34" t="inlineStr">
        <is>
          <t>Jenifer Urbano</t>
        </is>
      </c>
      <c r="D59" s="34" t="inlineStr">
        <is>
          <t>Calcular montos con precisión decimal.</t>
        </is>
      </c>
      <c r="E59" s="34" t="inlineStr">
        <is>
          <t>transacciones/services.py, calcular_comision()</t>
        </is>
      </c>
      <c r="F59" s="34" t="inlineStr">
        <is>
          <t>600 kg × 6,80 €/kg (mismo caso que TX-008)</t>
        </is>
      </c>
      <c r="G59" s="34" t="inlineStr">
        <is>
          <t>Montos con Decimal redondeados a 2 decimales, sin residuos de coma flotante (RNF-01)</t>
        </is>
      </c>
      <c r="H59" s="34" t="inlineStr">
        <is>
          <t>Pendiente de ejecución</t>
        </is>
      </c>
      <c r="I59" s="33" t="inlineStr">
        <is>
          <t>PENDIENTE</t>
        </is>
      </c>
      <c r="J59" s="35" t="n"/>
      <c r="K59" s="34" t="inlineStr">
        <is>
          <t>Ejecutar en el Sprint 4 al implementar el módulo en la plataforma.</t>
        </is>
      </c>
      <c r="L59" s="34" t="inlineStr">
        <is>
          <t>Plataforma (Django + PostgreSQL/PostGIS + AWS)</t>
        </is>
      </c>
      <c r="M59" s="34" t="inlineStr">
        <is>
          <t>RF-14; RNF-01; LIT-77</t>
        </is>
      </c>
      <c r="N59" s="33" t="inlineStr">
        <is>
          <t>4</t>
        </is>
      </c>
    </row>
    <row r="60" ht="20.85" customHeight="1" s="26">
      <c r="A60" s="32" t="inlineStr">
        <is>
          <t>TX-013</t>
        </is>
      </c>
      <c r="B60" s="33" t="inlineStr">
        <is>
          <t>de integración</t>
        </is>
      </c>
      <c r="C60" s="34" t="inlineStr">
        <is>
          <t>Juan Camilo Lopez</t>
        </is>
      </c>
      <c r="D60" s="34" t="inlineStr">
        <is>
          <t>Proteger la transacción acordada a nivel de base de datos.</t>
        </is>
      </c>
      <c r="E60" s="34" t="inlineStr">
        <is>
          <t>transacciones/models.py, migraciones (trigger o permisos)</t>
        </is>
      </c>
      <c r="F60" s="34" t="inlineStr">
        <is>
          <t>UPDATE directo sobre una transacción acordada</t>
        </is>
      </c>
      <c r="G60" s="34" t="inlineStr">
        <is>
          <t>La base de datos rechaza el cambio; solo se agregan eventos (RN-6, RNF-03)</t>
        </is>
      </c>
      <c r="H60" s="34" t="inlineStr">
        <is>
          <t>Pendiente de ejecución</t>
        </is>
      </c>
      <c r="I60" s="33" t="inlineStr">
        <is>
          <t>PENDIENTE</t>
        </is>
      </c>
      <c r="J60" s="35" t="n"/>
      <c r="K60" s="34" t="inlineStr">
        <is>
          <t>Ejecutar en el Sprint 4 al implementar el módulo en la plataforma.</t>
        </is>
      </c>
      <c r="L60" s="34" t="inlineStr">
        <is>
          <t>Plataforma (Django + PostgreSQL/PostGIS + AWS)</t>
        </is>
      </c>
      <c r="M60" s="34" t="inlineStr">
        <is>
          <t>RF-12; RN-6; RNF-03; LIT-75</t>
        </is>
      </c>
      <c r="N60" s="33" t="inlineStr">
        <is>
          <t>4</t>
        </is>
      </c>
    </row>
    <row r="61" ht="20.85" customHeight="1" s="26">
      <c r="A61" s="32" t="inlineStr">
        <is>
          <t>CL-001</t>
        </is>
      </c>
      <c r="B61" s="33" t="inlineStr">
        <is>
          <t>unitario</t>
        </is>
      </c>
      <c r="C61" s="34" t="inlineStr">
        <is>
          <t>Jenifer Urbano</t>
        </is>
      </c>
      <c r="D61" s="34" t="inlineStr">
        <is>
          <t>Registro de muestra del producto</t>
        </is>
      </c>
      <c r="E61" s="34" t="inlineStr">
        <is>
          <t>calidad/services.py, MuestraService</t>
        </is>
      </c>
      <c r="F61" s="34" t="inlineStr">
        <is>
          <t>transacción + muestra registrada</t>
        </is>
      </c>
      <c r="G61" s="34" t="inlineStr">
        <is>
          <t>Muestra asociada a la transacción (RN-8)</t>
        </is>
      </c>
      <c r="H61" s="34" t="inlineStr">
        <is>
          <t>Pendiente de ejecución</t>
        </is>
      </c>
      <c r="I61" s="33" t="inlineStr">
        <is>
          <t>PENDIENTE</t>
        </is>
      </c>
      <c r="J61" s="35" t="n"/>
      <c r="K61" s="34" t="inlineStr">
        <is>
          <t>Ejecutar en el Sprint 5 al implementar el módulo en Django (caso del plan del Sprint 2).</t>
        </is>
      </c>
      <c r="L61" s="34" t="inlineStr">
        <is>
          <t>Plataforma (Django + PostgreSQL/PostGIS + AWS)</t>
        </is>
      </c>
      <c r="M61" s="34" t="inlineStr">
        <is>
          <t>RF-16; RN-8; LIT-79</t>
        </is>
      </c>
      <c r="N61" s="33" t="inlineStr">
        <is>
          <t>5</t>
        </is>
      </c>
    </row>
    <row r="62" ht="20.85" customHeight="1" s="26">
      <c r="A62" s="32" t="inlineStr">
        <is>
          <t>CL-002</t>
        </is>
      </c>
      <c r="B62" s="33" t="inlineStr">
        <is>
          <t>de integración</t>
        </is>
      </c>
      <c r="C62" s="34" t="inlineStr">
        <is>
          <t>Jenifer Urbano</t>
        </is>
      </c>
      <c r="D62" s="34" t="inlineStr">
        <is>
          <t>Verificación muestra vs. producto recibido</t>
        </is>
      </c>
      <c r="E62" s="34" t="inlineStr">
        <is>
          <t>calidad/services.py, verificar()</t>
        </is>
      </c>
      <c r="F62" s="34" t="inlineStr">
        <is>
          <t>parámetros del laboratorio</t>
        </is>
      </c>
      <c r="G62" s="34" t="inlineStr">
        <is>
          <t>Comparación registrada con parámetros (RN-9)</t>
        </is>
      </c>
      <c r="H62" s="34" t="inlineStr">
        <is>
          <t>Pendiente de ejecución</t>
        </is>
      </c>
      <c r="I62" s="33" t="inlineStr">
        <is>
          <t>PENDIENTE</t>
        </is>
      </c>
      <c r="J62" s="35" t="n"/>
      <c r="K62" s="34" t="inlineStr">
        <is>
          <t>Ejecutar en el Sprint 5 al implementar el módulo en Django (caso del plan del Sprint 2).</t>
        </is>
      </c>
      <c r="L62" s="34" t="inlineStr">
        <is>
          <t>Plataforma (Django + PostgreSQL/PostGIS + AWS)</t>
        </is>
      </c>
      <c r="M62" s="34" t="inlineStr">
        <is>
          <t>RF-17; RN-9; LIT-80</t>
        </is>
      </c>
      <c r="N62" s="33" t="inlineStr">
        <is>
          <t>5</t>
        </is>
      </c>
    </row>
    <row r="63" ht="20.85" customHeight="1" s="26">
      <c r="A63" s="32" t="inlineStr">
        <is>
          <t>CL-003</t>
        </is>
      </c>
      <c r="B63" s="33" t="inlineStr">
        <is>
          <t>de integración</t>
        </is>
      </c>
      <c r="C63" s="34" t="inlineStr">
        <is>
          <t>Juan Camilo Lopez</t>
        </is>
      </c>
      <c r="D63" s="34" t="inlineStr">
        <is>
          <t>Veredicto ACEPTA libera el pago</t>
        </is>
      </c>
      <c r="E63" s="34" t="inlineStr">
        <is>
          <t>calidad/services.py</t>
        </is>
      </c>
      <c r="F63" s="34" t="inlineStr">
        <is>
          <t>veredicto ACEPTA</t>
        </is>
      </c>
      <c r="G63" s="34" t="inlineStr">
        <is>
          <t>Se libera el escrow</t>
        </is>
      </c>
      <c r="H63" s="34" t="inlineStr">
        <is>
          <t>Pendiente de ejecución</t>
        </is>
      </c>
      <c r="I63" s="33" t="inlineStr">
        <is>
          <t>PENDIENTE</t>
        </is>
      </c>
      <c r="J63" s="35" t="n"/>
      <c r="K63" s="34" t="inlineStr">
        <is>
          <t>Ejecutar en el Sprint 5 al implementar el módulo en Django (caso del plan del Sprint 2).</t>
        </is>
      </c>
      <c r="L63" s="34" t="inlineStr">
        <is>
          <t>Plataforma (Django + PostgreSQL/PostGIS + AWS)</t>
        </is>
      </c>
      <c r="M63" s="34" t="inlineStr">
        <is>
          <t>RF-18; RN-7; LIT-81</t>
        </is>
      </c>
      <c r="N63" s="33" t="inlineStr">
        <is>
          <t>5</t>
        </is>
      </c>
    </row>
    <row r="64" ht="20.85" customHeight="1" s="26">
      <c r="A64" s="32" t="inlineStr">
        <is>
          <t>CL-004</t>
        </is>
      </c>
      <c r="B64" s="33" t="inlineStr">
        <is>
          <t>de integración</t>
        </is>
      </c>
      <c r="C64" s="34" t="inlineStr">
        <is>
          <t>Nicolas Diaz</t>
        </is>
      </c>
      <c r="D64" s="34" t="inlineStr">
        <is>
          <t>Veredicto RECHAZA abre disputa</t>
        </is>
      </c>
      <c r="E64" s="34" t="inlineStr">
        <is>
          <t>calidad/services.py</t>
        </is>
      </c>
      <c r="F64" s="34" t="inlineStr">
        <is>
          <t>veredicto RECHAZA</t>
        </is>
      </c>
      <c r="G64" s="34" t="inlineStr">
        <is>
          <t>Se crea disputa y no se libera el pago</t>
        </is>
      </c>
      <c r="H64" s="34" t="inlineStr">
        <is>
          <t>Pendiente de ejecución</t>
        </is>
      </c>
      <c r="I64" s="33" t="inlineStr">
        <is>
          <t>PENDIENTE</t>
        </is>
      </c>
      <c r="J64" s="35" t="n"/>
      <c r="K64" s="34" t="inlineStr">
        <is>
          <t>Ejecutar en el Sprint 5 al implementar el módulo en Django (caso del plan del Sprint 2).</t>
        </is>
      </c>
      <c r="L64" s="34" t="inlineStr">
        <is>
          <t>Plataforma (Django + PostgreSQL/PostGIS + AWS)</t>
        </is>
      </c>
      <c r="M64" s="34" t="inlineStr">
        <is>
          <t>RF-18; RF-15; LIT-81</t>
        </is>
      </c>
      <c r="N64" s="33" t="inlineStr">
        <is>
          <t>5</t>
        </is>
      </c>
    </row>
    <row r="65" ht="20.85" customHeight="1" s="26">
      <c r="A65" s="32" t="inlineStr">
        <is>
          <t>CL-005</t>
        </is>
      </c>
      <c r="B65" s="33" t="inlineStr">
        <is>
          <t>de integración</t>
        </is>
      </c>
      <c r="C65" s="34" t="inlineStr">
        <is>
          <t>Nicolas Diaz</t>
        </is>
      </c>
      <c r="D65" s="34" t="inlineStr">
        <is>
          <t>Registrar la muestra del producto una sola vez tras el acuerdo.</t>
        </is>
      </c>
      <c r="E65" s="34" t="inlineStr">
        <is>
          <t>src/store/DemoStore.tsx, reducer: registerSample</t>
        </is>
      </c>
      <c r="F65" s="34" t="inlineStr">
        <is>
          <t>propietario registra muestra M-TEST-01 y luego intenta otra</t>
        </is>
      </c>
      <c r="G65" s="34" t="inlineStr">
        <is>
          <t>Muestra asociada a la transacción, etapa 'muestra'; el segundo registro no reemplaza la primera (RN-8)</t>
        </is>
      </c>
      <c r="H65" s="34" t="inlineStr">
        <is>
          <t>Muestra M-TEST-01 asociada, etapa "sample"; segundo registro deja la muestra en M-TEST-01</t>
        </is>
      </c>
      <c r="I65" s="33" t="inlineStr">
        <is>
          <t>SI</t>
        </is>
      </c>
      <c r="J65" s="35" t="n">
        <v>46294</v>
      </c>
      <c r="K65" s="34" t="inlineStr">
        <is>
          <t>Ejecutado automáticamente (pruebas/ejecutar.mjs). El responsable debe re-ejecutarlo y confirmar.</t>
        </is>
      </c>
      <c r="L65" s="34" t="inlineStr">
        <is>
          <t>Prototipo React (demo estática)</t>
        </is>
      </c>
      <c r="M65" s="34" t="inlineStr">
        <is>
          <t>RF-16; RN-8; LIT-79</t>
        </is>
      </c>
      <c r="N65" s="33" t="inlineStr">
        <is>
          <t>5</t>
        </is>
      </c>
    </row>
    <row r="66" ht="20.85" customHeight="1" s="26">
      <c r="A66" s="32" t="inlineStr">
        <is>
          <t>CL-006</t>
        </is>
      </c>
      <c r="B66" s="33" t="inlineStr">
        <is>
          <t>de integración</t>
        </is>
      </c>
      <c r="C66" s="34" t="inlineStr">
        <is>
          <t>Nicolas Diaz</t>
        </is>
      </c>
      <c r="D66" s="34" t="inlineStr">
        <is>
          <t>Aceptar el producto entregado y liberar el pago.</t>
        </is>
      </c>
      <c r="E66" s="34" t="inlineStr">
        <is>
          <t>src/store/DemoStore.tsx, reducer: verify (accept)</t>
        </is>
      </c>
      <c r="F66" s="34" t="inlineStr">
        <is>
          <t>veredicto 'acepta' sobre transacción entregada</t>
        </is>
      </c>
      <c r="G66" s="34" t="inlineStr">
        <is>
          <t>Etapa 'aceptada' y escrow 'liberado' al vendedor (RN-7, RN-8)</t>
        </is>
      </c>
      <c r="H66" s="34" t="inlineStr">
        <is>
          <t>Etapa "accepted", escrow "released"</t>
        </is>
      </c>
      <c r="I66" s="33" t="inlineStr">
        <is>
          <t>SI</t>
        </is>
      </c>
      <c r="J66" s="35" t="n">
        <v>46294</v>
      </c>
      <c r="K66" s="34" t="inlineStr">
        <is>
          <t>Ejecutado automáticamente (pruebas/ejecutar.mjs). El responsable debe re-ejecutarlo y confirmar.</t>
        </is>
      </c>
      <c r="L66" s="34" t="inlineStr">
        <is>
          <t>Prototipo React (demo estática)</t>
        </is>
      </c>
      <c r="M66" s="34" t="inlineStr">
        <is>
          <t>RF-18; RN-7; RN-8; LIT-81</t>
        </is>
      </c>
      <c r="N66" s="33" t="inlineStr">
        <is>
          <t>5</t>
        </is>
      </c>
    </row>
    <row r="67" ht="20.85" customHeight="1" s="26">
      <c r="A67" s="32" t="inlineStr">
        <is>
          <t>CL-007</t>
        </is>
      </c>
      <c r="B67" s="33" t="inlineStr">
        <is>
          <t>de integración</t>
        </is>
      </c>
      <c r="C67" s="34" t="inlineStr">
        <is>
          <t>Juan Camilo Lopez</t>
        </is>
      </c>
      <c r="D67" s="34" t="inlineStr">
        <is>
          <t>Impedir el veredicto antes de que el pedido llegue.</t>
        </is>
      </c>
      <c r="E67" s="34" t="inlineStr">
        <is>
          <t>src/store/DemoStore.tsx, reducer: verify</t>
        </is>
      </c>
      <c r="F67" s="34" t="inlineStr">
        <is>
          <t>veredicto 'acepta' con la transacción en etapa 'muestra'</t>
        </is>
      </c>
      <c r="G67" s="34" t="inlineStr">
        <is>
          <t>Se ignora: la etapa no cambia y el dinero sigue bloqueado</t>
        </is>
      </c>
      <c r="H67" s="34" t="inlineStr">
        <is>
          <t>Aceptar antes de la entrega: etapa "sample", escrow "held"</t>
        </is>
      </c>
      <c r="I67" s="33" t="inlineStr">
        <is>
          <t>SI</t>
        </is>
      </c>
      <c r="J67" s="35" t="n">
        <v>46294</v>
      </c>
      <c r="K67" s="34" t="inlineStr">
        <is>
          <t>Ejecutado automáticamente (pruebas/ejecutar.mjs). El responsable debe re-ejecutarlo y confirmar.</t>
        </is>
      </c>
      <c r="L67" s="34" t="inlineStr">
        <is>
          <t>Prototipo React (demo estática)</t>
        </is>
      </c>
      <c r="M67" s="34" t="inlineStr">
        <is>
          <t>RF-18; RN-7; LIT-81</t>
        </is>
      </c>
      <c r="N67" s="33" t="inlineStr">
        <is>
          <t>5</t>
        </is>
      </c>
    </row>
    <row r="68" ht="20.85" customHeight="1" s="26">
      <c r="A68" s="32" t="inlineStr">
        <is>
          <t>CL-008</t>
        </is>
      </c>
      <c r="B68" s="33" t="inlineStr">
        <is>
          <t>de integración</t>
        </is>
      </c>
      <c r="C68" s="34" t="inlineStr">
        <is>
          <t>Nicolas Diaz</t>
        </is>
      </c>
      <c r="D68" s="34" t="inlineStr">
        <is>
          <t>Rechazar el producto y abrir una disputa.</t>
        </is>
      </c>
      <c r="E68" s="34" t="inlineStr">
        <is>
          <t>src/store/DemoStore.tsx, reducer: verify (reject)</t>
        </is>
      </c>
      <c r="F68" s="34" t="inlineStr">
        <is>
          <t>veredicto 'rechaza' con motivo 'Humedad fuera de rango'</t>
        </is>
      </c>
      <c r="G68" s="34" t="inlineStr">
        <is>
          <t>Disputa abierta con el motivo; transacción 'en disputa'; el pago no se libera</t>
        </is>
      </c>
      <c r="H68" s="34" t="inlineStr">
        <is>
          <t>Etapa "disputed", escrow "held", disputa "open" con motivo "Humedad fuera de rango"</t>
        </is>
      </c>
      <c r="I68" s="33" t="inlineStr">
        <is>
          <t>SI</t>
        </is>
      </c>
      <c r="J68" s="35" t="n">
        <v>46294</v>
      </c>
      <c r="K68" s="34" t="inlineStr">
        <is>
          <t>Ejecutado automáticamente (pruebas/ejecutar.mjs). El responsable debe re-ejecutarlo y confirmar.</t>
        </is>
      </c>
      <c r="L68" s="34" t="inlineStr">
        <is>
          <t>Prototipo React (demo estática)</t>
        </is>
      </c>
      <c r="M68" s="34" t="inlineStr">
        <is>
          <t>RF-15; RF-18; LIT-78; LIT-81</t>
        </is>
      </c>
      <c r="N68" s="33" t="inlineStr">
        <is>
          <t>5</t>
        </is>
      </c>
    </row>
    <row r="69" ht="20.85" customHeight="1" s="26">
      <c r="A69" s="32" t="inlineStr">
        <is>
          <t>CL-009</t>
        </is>
      </c>
      <c r="B69" s="33" t="inlineStr">
        <is>
          <t>de integración</t>
        </is>
      </c>
      <c r="C69" s="34" t="inlineStr">
        <is>
          <t>Juan Camilo Lopez</t>
        </is>
      </c>
      <c r="D69" s="34" t="inlineStr">
        <is>
          <t>Verificar la calidad con los parámetros del laboratorio.</t>
        </is>
      </c>
      <c r="E69" s="34" t="inlineStr">
        <is>
          <t>calidad/services.py, verificar()</t>
        </is>
      </c>
      <c r="F69" s="34" t="inlineStr">
        <is>
          <t>parámetros del laboratorio de la universidad (por definir) y muestra</t>
        </is>
      </c>
      <c r="G69" s="34" t="inlineStr">
        <is>
          <t>La verificación compara cada parámetro con su tolerancia y guarda el resultado (RN-9)</t>
        </is>
      </c>
      <c r="H69" s="34" t="inlineStr">
        <is>
          <t>Pendiente de ejecución</t>
        </is>
      </c>
      <c r="I69" s="33" t="inlineStr">
        <is>
          <t>PENDIENTE</t>
        </is>
      </c>
      <c r="J69" s="35" t="n"/>
      <c r="K69" s="34" t="inlineStr">
        <is>
          <t>Ejecutar en el Sprint 5 al implementar el módulo en la plataforma.</t>
        </is>
      </c>
      <c r="L69" s="34" t="inlineStr">
        <is>
          <t>Plataforma (Django + PostgreSQL/PostGIS + AWS)</t>
        </is>
      </c>
      <c r="M69" s="34" t="inlineStr">
        <is>
          <t>RF-17; RN-9; LIT-80</t>
        </is>
      </c>
      <c r="N69" s="33" t="inlineStr">
        <is>
          <t>5</t>
        </is>
      </c>
    </row>
    <row r="70" ht="20.85" customHeight="1" s="26">
      <c r="A70" s="32" t="inlineStr">
        <is>
          <t>LG-001</t>
        </is>
      </c>
      <c r="B70" s="33" t="inlineStr">
        <is>
          <t>unitario</t>
        </is>
      </c>
      <c r="C70" s="34" t="inlineStr">
        <is>
          <t>Juan Camilo Lopez</t>
        </is>
      </c>
      <c r="D70" s="34" t="inlineStr">
        <is>
          <t>Transición de estados del pedido</t>
        </is>
      </c>
      <c r="E70" s="34" t="inlineStr">
        <is>
          <t>logistica/services.py, EnvioService</t>
        </is>
      </c>
      <c r="F70" s="34" t="inlineStr">
        <is>
          <t>preparado -&gt; enviado -&gt; en tránsito -&gt; entregado</t>
        </is>
      </c>
      <c r="G70" s="34" t="inlineStr">
        <is>
          <t>Transiciones válidas; rechaza inválidas</t>
        </is>
      </c>
      <c r="H70" s="34" t="inlineStr">
        <is>
          <t>Pendiente de ejecución</t>
        </is>
      </c>
      <c r="I70" s="33" t="inlineStr">
        <is>
          <t>PENDIENTE</t>
        </is>
      </c>
      <c r="J70" s="35" t="n"/>
      <c r="K70" s="34" t="inlineStr">
        <is>
          <t>Ejecutar en el Sprint 5 al implementar el módulo en Django (caso del plan del Sprint 2).</t>
        </is>
      </c>
      <c r="L70" s="34" t="inlineStr">
        <is>
          <t>Plataforma (Django + PostgreSQL/PostGIS + AWS)</t>
        </is>
      </c>
      <c r="M70" s="34" t="inlineStr">
        <is>
          <t>RF-19; RN-14; LIT-82</t>
        </is>
      </c>
      <c r="N70" s="33" t="inlineStr">
        <is>
          <t>5</t>
        </is>
      </c>
    </row>
    <row r="71" ht="20.85" customHeight="1" s="26">
      <c r="A71" s="32" t="inlineStr">
        <is>
          <t>LG-002</t>
        </is>
      </c>
      <c r="B71" s="33" t="inlineStr">
        <is>
          <t>de integración</t>
        </is>
      </c>
      <c r="C71" s="34" t="inlineStr">
        <is>
          <t>Jenifer Urbano</t>
        </is>
      </c>
      <c r="D71" s="34" t="inlineStr">
        <is>
          <t>Tracker visible para comprador y vendedor</t>
        </is>
      </c>
      <c r="E71" s="34" t="inlineStr">
        <is>
          <t>logistica/views.py, tracker()</t>
        </is>
      </c>
      <c r="F71" s="34" t="inlineStr">
        <is>
          <t>pedido de una transacción</t>
        </is>
      </c>
      <c r="G71" s="34" t="inlineStr">
        <is>
          <t>Comprador y vendedor ven el historial; terceros no</t>
        </is>
      </c>
      <c r="H71" s="34" t="inlineStr">
        <is>
          <t>Pendiente de ejecución</t>
        </is>
      </c>
      <c r="I71" s="33" t="inlineStr">
        <is>
          <t>PENDIENTE</t>
        </is>
      </c>
      <c r="J71" s="35" t="n"/>
      <c r="K71" s="34" t="inlineStr">
        <is>
          <t>Ejecutar en el Sprint 5 al implementar el módulo en Django (caso del plan del Sprint 2).</t>
        </is>
      </c>
      <c r="L71" s="34" t="inlineStr">
        <is>
          <t>Plataforma (Django + PostgreSQL/PostGIS + AWS)</t>
        </is>
      </c>
      <c r="M71" s="34" t="inlineStr">
        <is>
          <t>RF-20; RN-13; LIT-83</t>
        </is>
      </c>
      <c r="N71" s="33" t="inlineStr">
        <is>
          <t>5</t>
        </is>
      </c>
    </row>
    <row r="72" ht="20.85" customHeight="1" s="26">
      <c r="A72" s="32" t="inlineStr">
        <is>
          <t>LG-003</t>
        </is>
      </c>
      <c r="B72" s="33" t="inlineStr">
        <is>
          <t>unitario</t>
        </is>
      </c>
      <c r="C72" s="34" t="inlineStr">
        <is>
          <t>Juan Camilo Lopez</t>
        </is>
      </c>
      <c r="D72" s="34" t="inlineStr">
        <is>
          <t>Recorrer las etapas del tracker de logística en orden.</t>
        </is>
      </c>
      <c r="E72" s="34" t="inlineStr">
        <is>
          <t>src/domain/rules.ts, nextShippingStage()</t>
        </is>
      </c>
      <c r="F72" s="34" t="inlineStr">
        <is>
          <t>etapa inicial: muestra registrada</t>
        </is>
      </c>
      <c r="G72" s="34" t="inlineStr">
        <is>
          <t>muestra → preparado → enviado → en tránsito → entregado → sin siguiente etapa</t>
        </is>
      </c>
      <c r="H72" s="34" t="inlineStr">
        <is>
          <t>sample → prepared → shipped → in_transit → delivered → null</t>
        </is>
      </c>
      <c r="I72" s="33" t="inlineStr">
        <is>
          <t>SI</t>
        </is>
      </c>
      <c r="J72" s="35" t="n">
        <v>46294</v>
      </c>
      <c r="K72" s="34" t="inlineStr">
        <is>
          <t>Ejecutado automáticamente (pruebas/ejecutar.mjs). El responsable debe re-ejecutarlo y confirmar.</t>
        </is>
      </c>
      <c r="L72" s="34" t="inlineStr">
        <is>
          <t>Prototipo React (demo estática)</t>
        </is>
      </c>
      <c r="M72" s="34" t="inlineStr">
        <is>
          <t>RF-19; RN-14; LIT-82</t>
        </is>
      </c>
      <c r="N72" s="33" t="inlineStr">
        <is>
          <t>5</t>
        </is>
      </c>
    </row>
    <row r="73" ht="20.85" customHeight="1" s="26">
      <c r="A73" s="32" t="inlineStr">
        <is>
          <t>LG-004</t>
        </is>
      </c>
      <c r="B73" s="33" t="inlineStr">
        <is>
          <t>unitario</t>
        </is>
      </c>
      <c r="C73" s="34" t="inlineStr">
        <is>
          <t>Jenifer Urbano</t>
        </is>
      </c>
      <c r="D73" s="34" t="inlineStr">
        <is>
          <t>Impedir avanzar el tracker desde etapas que no son de envío.</t>
        </is>
      </c>
      <c r="E73" s="34" t="inlineStr">
        <is>
          <t>src/domain/rules.ts, nextShippingStage()</t>
        </is>
      </c>
      <c r="F73" s="34" t="inlineStr">
        <is>
          <t>acordada, aceptada, en disputa, resuelta</t>
        </is>
      </c>
      <c r="G73" s="34" t="inlineStr">
        <is>
          <t>Ninguna tiene siguiente etapa de envío (no se envía sin muestra ni después del cierre)</t>
        </is>
      </c>
      <c r="H73" s="34" t="inlineStr">
        <is>
          <t>agreed → null; accepted → null; disputed → null; resolved → null</t>
        </is>
      </c>
      <c r="I73" s="33" t="inlineStr">
        <is>
          <t>SI</t>
        </is>
      </c>
      <c r="J73" s="35" t="n">
        <v>46294</v>
      </c>
      <c r="K73" s="34" t="inlineStr">
        <is>
          <t>Ejecutado automáticamente (pruebas/ejecutar.mjs). El responsable debe re-ejecutarlo y confirmar.</t>
        </is>
      </c>
      <c r="L73" s="34" t="inlineStr">
        <is>
          <t>Prototipo React (demo estática)</t>
        </is>
      </c>
      <c r="M73" s="34" t="inlineStr">
        <is>
          <t>RF-19; RN-8; LIT-82</t>
        </is>
      </c>
      <c r="N73" s="33" t="inlineStr">
        <is>
          <t>5</t>
        </is>
      </c>
    </row>
    <row r="74" ht="30.55" customHeight="1" s="26">
      <c r="A74" s="32" t="inlineStr">
        <is>
          <t>LG-005</t>
        </is>
      </c>
      <c r="B74" s="33" t="inlineStr">
        <is>
          <t>de integración</t>
        </is>
      </c>
      <c r="C74" s="34" t="inlineStr">
        <is>
          <t>Jenifer Urbano</t>
        </is>
      </c>
      <c r="D74" s="34" t="inlineStr">
        <is>
          <t>Actualizar el tracker como transportador, solo después de la muestra.</t>
        </is>
      </c>
      <c r="E74" s="34" t="inlineStr">
        <is>
          <t>src/store/DemoStore.tsx, reducer: advanceShipping</t>
        </is>
      </c>
      <c r="F74" s="34" t="inlineStr">
        <is>
          <t>avanzar sin muestra; luego 6 avances con muestra</t>
        </is>
      </c>
      <c r="G74" s="34" t="inlineStr">
        <is>
          <t>Sin muestra no avanza; con muestra el historial es acordada → muestra → preparado → enviado → en tránsito → entregado y se detiene</t>
        </is>
      </c>
      <c r="H74" s="34" t="inlineStr">
        <is>
          <t>Sin muestra se queda en "agreed"; con muestra y 6 avances: agreed → sample → prepared → shipped → in_transit → delivered</t>
        </is>
      </c>
      <c r="I74" s="33" t="inlineStr">
        <is>
          <t>SI</t>
        </is>
      </c>
      <c r="J74" s="35" t="n">
        <v>46294</v>
      </c>
      <c r="K74" s="34" t="inlineStr">
        <is>
          <t>Ejecutado automáticamente (pruebas/ejecutar.mjs). El responsable debe re-ejecutarlo y confirmar.</t>
        </is>
      </c>
      <c r="L74" s="34" t="inlineStr">
        <is>
          <t>Prototipo React (demo estática)</t>
        </is>
      </c>
      <c r="M74" s="34" t="inlineStr">
        <is>
          <t>RF-19; RF-20; RN-14; LIT-82; LIT-83</t>
        </is>
      </c>
      <c r="N74" s="33" t="inlineStr">
        <is>
          <t>5</t>
        </is>
      </c>
    </row>
    <row r="75" ht="20.85" customHeight="1" s="26">
      <c r="A75" s="32" t="inlineStr">
        <is>
          <t>LG-006</t>
        </is>
      </c>
      <c r="B75" s="33" t="inlineStr">
        <is>
          <t>del sistema</t>
        </is>
      </c>
      <c r="C75" s="34" t="inlineStr">
        <is>
          <t>Juan Camilo Lopez</t>
        </is>
      </c>
      <c r="D75" s="34" t="inlineStr">
        <is>
          <t>Seguir el pedido desde los tres roles involucrados.</t>
        </is>
      </c>
      <c r="E75" s="34" t="inlineStr">
        <is>
          <t>src/pages/carrier/Carrier.tsx, src/pages/shared/Transactions.tsx</t>
        </is>
      </c>
      <c r="F75" s="34" t="inlineStr">
        <is>
          <t>transportador avanza una etapa; comprador y vendedor consultan</t>
        </is>
      </c>
      <c r="G75" s="34" t="inlineStr">
        <is>
          <t>El comprador y el vendedor ven la nueva etapa con fecha en el tracker (RF-20)</t>
        </is>
      </c>
      <c r="H75" s="34" t="inlineStr">
        <is>
          <t>Pendiente de ejecución</t>
        </is>
      </c>
      <c r="I75" s="33" t="inlineStr">
        <is>
          <t>PENDIENTE</t>
        </is>
      </c>
      <c r="J75" s="35" t="n"/>
      <c r="K75" s="34" t="inlineStr">
        <is>
          <t>Ejecutar manualmente sobre el prototipo (npm run dev) y adjuntar pantallazos como evidencia.</t>
        </is>
      </c>
      <c r="L75" s="34" t="inlineStr">
        <is>
          <t>Prototipo React (demo estática)</t>
        </is>
      </c>
      <c r="M75" s="34" t="inlineStr">
        <is>
          <t>RF-19; RF-20; LIT-82; LIT-83</t>
        </is>
      </c>
      <c r="N75" s="33" t="inlineStr">
        <is>
          <t>5</t>
        </is>
      </c>
    </row>
    <row r="76" ht="20.85" customHeight="1" s="26">
      <c r="A76" s="32" t="inlineStr">
        <is>
          <t>AD-001</t>
        </is>
      </c>
      <c r="B76" s="33" t="inlineStr">
        <is>
          <t>de integración</t>
        </is>
      </c>
      <c r="C76" s="34" t="inlineStr">
        <is>
          <t>Nicolas Diaz</t>
        </is>
      </c>
      <c r="D76" s="34" t="inlineStr">
        <is>
          <t>Panel del administrador del sistema</t>
        </is>
      </c>
      <c r="E76" s="34" t="inlineStr">
        <is>
          <t>administracion/views.py</t>
        </is>
      </c>
      <c r="F76" s="34" t="inlineStr">
        <is>
          <t>gestión de usuarios, disputas y comisiones</t>
        </is>
      </c>
      <c r="G76" s="34" t="inlineStr">
        <is>
          <t>Acciones aplicadas y registradas</t>
        </is>
      </c>
      <c r="H76" s="34" t="inlineStr">
        <is>
          <t>Pendiente de ejecución</t>
        </is>
      </c>
      <c r="I76" s="33" t="inlineStr">
        <is>
          <t>PENDIENTE</t>
        </is>
      </c>
      <c r="J76" s="35" t="n"/>
      <c r="K76" s="34" t="inlineStr">
        <is>
          <t>Ejecutar en el Sprint 6 al implementar el módulo en Django (caso del plan del Sprint 2).</t>
        </is>
      </c>
      <c r="L76" s="34" t="inlineStr">
        <is>
          <t>Plataforma (Django + PostgreSQL/PostGIS + AWS)</t>
        </is>
      </c>
      <c r="M76" s="34" t="inlineStr">
        <is>
          <t>RF-21; LIT-84</t>
        </is>
      </c>
      <c r="N76" s="33" t="inlineStr">
        <is>
          <t>6</t>
        </is>
      </c>
    </row>
    <row r="77" ht="20.85" customHeight="1" s="26">
      <c r="A77" s="32" t="inlineStr">
        <is>
          <t>AD-002</t>
        </is>
      </c>
      <c r="B77" s="33" t="inlineStr">
        <is>
          <t>de integración</t>
        </is>
      </c>
      <c r="C77" s="34" t="inlineStr">
        <is>
          <t>Juan Camilo Lopez</t>
        </is>
      </c>
      <c r="D77" s="34" t="inlineStr">
        <is>
          <t>Auditoría del administrador técnico</t>
        </is>
      </c>
      <c r="E77" s="34" t="inlineStr">
        <is>
          <t>administracion/services.py, AuditoriaService</t>
        </is>
      </c>
      <c r="F77" s="34" t="inlineStr">
        <is>
          <t>consulta de acciones</t>
        </is>
      </c>
      <c r="G77" s="34" t="inlineStr">
        <is>
          <t>Historial de auditoría completo</t>
        </is>
      </c>
      <c r="H77" s="34" t="inlineStr">
        <is>
          <t>Pendiente de ejecución</t>
        </is>
      </c>
      <c r="I77" s="33" t="inlineStr">
        <is>
          <t>PENDIENTE</t>
        </is>
      </c>
      <c r="J77" s="35" t="n"/>
      <c r="K77" s="34" t="inlineStr">
        <is>
          <t>Ejecutar en el Sprint 6 al implementar el módulo en Django (caso del plan del Sprint 2).</t>
        </is>
      </c>
      <c r="L77" s="34" t="inlineStr">
        <is>
          <t>Plataforma (Django + PostgreSQL/PostGIS + AWS)</t>
        </is>
      </c>
      <c r="M77" s="34" t="inlineStr">
        <is>
          <t>RF-22; RNF-11; LIT-85</t>
        </is>
      </c>
      <c r="N77" s="33" t="inlineStr">
        <is>
          <t>6</t>
        </is>
      </c>
    </row>
    <row r="78" ht="30.55" customHeight="1" s="26">
      <c r="A78" s="32" t="inlineStr">
        <is>
          <t>AD-003</t>
        </is>
      </c>
      <c r="B78" s="33" t="inlineStr">
        <is>
          <t>de integración</t>
        </is>
      </c>
      <c r="C78" s="34" t="inlineStr">
        <is>
          <t>Nicolas Diaz</t>
        </is>
      </c>
      <c r="D78" s="34" t="inlineStr">
        <is>
          <t>Ejecutar un respaldo manual desde el panel técnico.</t>
        </is>
      </c>
      <c r="E78" s="34" t="inlineStr">
        <is>
          <t>src/store/DemoStore.tsx, reducer: runBackup</t>
        </is>
      </c>
      <c r="F78" s="34" t="inlineStr">
        <is>
          <t>administrador técnico ejecuta el respaldo</t>
        </is>
      </c>
      <c r="G78" s="34" t="inlineStr">
        <is>
          <t>Se actualiza la fecha del último respaldo y se registra en auditoría con el usuario técnico (RF-22)</t>
        </is>
      </c>
      <c r="H78" s="34" t="inlineStr">
        <is>
          <t>Último respaldo 28/09/2026 17:40 → 29/09/26, 10:55 p. m. (hora local); auditoría "backup" sobre rds-ritech-prod por u-tech</t>
        </is>
      </c>
      <c r="I78" s="33" t="inlineStr">
        <is>
          <t>SI</t>
        </is>
      </c>
      <c r="J78" s="35" t="n">
        <v>46294</v>
      </c>
      <c r="K78" s="34" t="inlineStr">
        <is>
          <t>Ejecutado automáticamente (pruebas/ejecutar.mjs). El responsable debe re-ejecutarlo y confirmar.</t>
        </is>
      </c>
      <c r="L78" s="34" t="inlineStr">
        <is>
          <t>Prototipo React (demo estática)</t>
        </is>
      </c>
      <c r="M78" s="34" t="inlineStr">
        <is>
          <t>RF-22; RNF-06; LIT-85</t>
        </is>
      </c>
      <c r="N78" s="33" t="inlineStr">
        <is>
          <t>6</t>
        </is>
      </c>
    </row>
    <row r="79" ht="30.55" customHeight="1" s="26">
      <c r="A79" s="32" t="inlineStr">
        <is>
          <t>AD-004</t>
        </is>
      </c>
      <c r="B79" s="33" t="inlineStr">
        <is>
          <t>de integración</t>
        </is>
      </c>
      <c r="C79" s="34" t="inlineStr">
        <is>
          <t>Juan Camilo Lopez</t>
        </is>
      </c>
      <c r="D79" s="34" t="inlineStr">
        <is>
          <t>Registrar en auditoría quién hizo cada acción.</t>
        </is>
      </c>
      <c r="E79" s="34" t="inlineStr">
        <is>
          <t>src/store/DemoStore.tsx, log()</t>
        </is>
      </c>
      <c r="F79" s="34" t="inlineStr">
        <is>
          <t>vendedor publica, administrador bloquea, técnico respalda</t>
        </is>
      </c>
      <c r="G79" s="34" t="inlineStr">
        <is>
          <t>3 entradas nuevas con la acción y el usuario del rol que la hizo (RNF-11)</t>
        </is>
      </c>
      <c r="H79" s="34" t="inlineStr">
        <is>
          <t>Acciones registradas: seller:publish, admin:block, tech:backup; usuarios: u-seller, u-admin, u-tech; entradas nuevas 3</t>
        </is>
      </c>
      <c r="I79" s="33" t="inlineStr">
        <is>
          <t>SI</t>
        </is>
      </c>
      <c r="J79" s="35" t="n">
        <v>46294</v>
      </c>
      <c r="K79" s="34" t="inlineStr">
        <is>
          <t>Ejecutado automáticamente (pruebas/ejecutar.mjs). El responsable debe re-ejecutarlo y confirmar.</t>
        </is>
      </c>
      <c r="L79" s="34" t="inlineStr">
        <is>
          <t>Prototipo React (demo estática)</t>
        </is>
      </c>
      <c r="M79" s="34" t="inlineStr">
        <is>
          <t>RF-22; RNF-11; LIT-85</t>
        </is>
      </c>
      <c r="N79" s="33" t="inlineStr">
        <is>
          <t>6</t>
        </is>
      </c>
    </row>
    <row r="80" ht="20.85" customHeight="1" s="26">
      <c r="A80" s="32" t="inlineStr">
        <is>
          <t>AD-005</t>
        </is>
      </c>
      <c r="B80" s="33" t="inlineStr">
        <is>
          <t>de integración</t>
        </is>
      </c>
      <c r="C80" s="34" t="inlineStr">
        <is>
          <t>Nicolas Diaz</t>
        </is>
      </c>
      <c r="D80" s="34" t="inlineStr">
        <is>
          <t>Restablecer la demo a los datos de ejemplo.</t>
        </is>
      </c>
      <c r="E80" s="34" t="inlineStr">
        <is>
          <t>src/store/DemoStore.tsx, reducer: reset</t>
        </is>
      </c>
      <c r="F80" s="34" t="inlineStr">
        <is>
          <t>estado modificado (usuario bloqueado + respaldo) y reset</t>
        </is>
      </c>
      <c r="G80" s="34" t="inlineStr">
        <is>
          <t>Usuarios, lotes y auditoría vuelven a los datos de ejemplo; se conserva el rol activo</t>
        </is>
      </c>
      <c r="H80" s="34" t="inlineStr">
        <is>
          <t>Tras reset: datos iguales a la semilla = true; rol conservado = admin</t>
        </is>
      </c>
      <c r="I80" s="33" t="inlineStr">
        <is>
          <t>SI</t>
        </is>
      </c>
      <c r="J80" s="35" t="n">
        <v>46294</v>
      </c>
      <c r="K80" s="34" t="inlineStr">
        <is>
          <t>Ejecutado automáticamente (pruebas/ejecutar.mjs). El responsable debe re-ejecutarlo y confirmar.</t>
        </is>
      </c>
      <c r="L80" s="34" t="inlineStr">
        <is>
          <t>Prototipo React (demo estática)</t>
        </is>
      </c>
      <c r="M80" s="34" t="inlineStr">
        <is>
          <t>RNF-04</t>
        </is>
      </c>
      <c r="N80" s="33" t="inlineStr">
        <is>
          <t>6</t>
        </is>
      </c>
    </row>
    <row r="81" ht="20.85" customHeight="1" s="26">
      <c r="A81" s="32" t="inlineStr">
        <is>
          <t>AD-006</t>
        </is>
      </c>
      <c r="B81" s="33" t="inlineStr">
        <is>
          <t>del sistema</t>
        </is>
      </c>
      <c r="C81" s="34" t="inlineStr">
        <is>
          <t>Nicolas Diaz</t>
        </is>
      </c>
      <c r="D81" s="34" t="inlineStr">
        <is>
          <t>Usar el panel del administrador del sistema.</t>
        </is>
      </c>
      <c r="E81" s="34" t="inlineStr">
        <is>
          <t>src/pages/admin/Admin.tsx</t>
        </is>
      </c>
      <c r="F81" s="34" t="inlineStr">
        <is>
          <t>validar certificado, resolver disputa, bloquear usuario, ver comisiones</t>
        </is>
      </c>
      <c r="G81" s="34" t="inlineStr">
        <is>
          <t>Cada acción se aplica, se refleja en los otros roles y queda en auditoría (RF-21)</t>
        </is>
      </c>
      <c r="H81" s="34" t="inlineStr">
        <is>
          <t>Pendiente de ejecución</t>
        </is>
      </c>
      <c r="I81" s="33" t="inlineStr">
        <is>
          <t>PENDIENTE</t>
        </is>
      </c>
      <c r="J81" s="35" t="n"/>
      <c r="K81" s="34" t="inlineStr">
        <is>
          <t>Ejecutar manualmente sobre el prototipo (npm run dev) y adjuntar pantallazos como evidencia.</t>
        </is>
      </c>
      <c r="L81" s="34" t="inlineStr">
        <is>
          <t>Prototipo React (demo estática)</t>
        </is>
      </c>
      <c r="M81" s="34" t="inlineStr">
        <is>
          <t>RF-21; LIT-84</t>
        </is>
      </c>
      <c r="N81" s="33" t="inlineStr">
        <is>
          <t>6</t>
        </is>
      </c>
    </row>
    <row r="82" ht="20.85" customHeight="1" s="26">
      <c r="A82" s="32" t="inlineStr">
        <is>
          <t>AD-007</t>
        </is>
      </c>
      <c r="B82" s="33" t="inlineStr">
        <is>
          <t>del sistema</t>
        </is>
      </c>
      <c r="C82" s="34" t="inlineStr">
        <is>
          <t>Juan Camilo Lopez</t>
        </is>
      </c>
      <c r="D82" s="34" t="inlineStr">
        <is>
          <t>Usar el panel del administrador técnico.</t>
        </is>
      </c>
      <c r="E82" s="34" t="inlineStr">
        <is>
          <t>src/pages/tech/Tech.tsx</t>
        </is>
      </c>
      <c r="F82" s="34" t="inlineStr">
        <is>
          <t>consultar auditoría y ejecutar respaldo</t>
        </is>
      </c>
      <c r="G82" s="34" t="inlineStr">
        <is>
          <t>La auditoría lista las acciones recientes y el respaldo actualiza su fecha (RF-22)</t>
        </is>
      </c>
      <c r="H82" s="34" t="inlineStr">
        <is>
          <t>Pendiente de ejecución</t>
        </is>
      </c>
      <c r="I82" s="33" t="inlineStr">
        <is>
          <t>PENDIENTE</t>
        </is>
      </c>
      <c r="J82" s="35" t="n"/>
      <c r="K82" s="34" t="inlineStr">
        <is>
          <t>Ejecutar manualmente sobre el prototipo (npm run dev) y adjuntar pantallazos como evidencia.</t>
        </is>
      </c>
      <c r="L82" s="34" t="inlineStr">
        <is>
          <t>Prototipo React (demo estática)</t>
        </is>
      </c>
      <c r="M82" s="34" t="inlineStr">
        <is>
          <t>RF-22; RNF-11; LIT-85</t>
        </is>
      </c>
      <c r="N82" s="33" t="inlineStr">
        <is>
          <t>6</t>
        </is>
      </c>
    </row>
    <row r="83" ht="20.85" customHeight="1" s="26">
      <c r="A83" s="32" t="inlineStr">
        <is>
          <t>AD-008</t>
        </is>
      </c>
      <c r="B83" s="33" t="inlineStr">
        <is>
          <t>de integración</t>
        </is>
      </c>
      <c r="C83" s="34" t="inlineStr">
        <is>
          <t>Juan Camilo Lopez</t>
        </is>
      </c>
      <c r="D83" s="34" t="inlineStr">
        <is>
          <t>Generar la constancia PDF de una transacción.</t>
        </is>
      </c>
      <c r="E83" s="34" t="inlineStr">
        <is>
          <t>documentos/services.py, generar_pdf()</t>
        </is>
      </c>
      <c r="F83" s="34" t="inlineStr">
        <is>
          <t>transacción acordada</t>
        </is>
      </c>
      <c r="G83" s="34" t="inlineStr">
        <is>
          <t>PDF con partes, cantidades, precio, comisiones y fecha, guardado en S3</t>
        </is>
      </c>
      <c r="H83" s="34" t="inlineStr">
        <is>
          <t>Pendiente de ejecución</t>
        </is>
      </c>
      <c r="I83" s="33" t="inlineStr">
        <is>
          <t>PENDIENTE</t>
        </is>
      </c>
      <c r="J83" s="35" t="n"/>
      <c r="K83" s="34" t="inlineStr">
        <is>
          <t>Ejecutar en el Sprint 6 al implementar el módulo en la plataforma.</t>
        </is>
      </c>
      <c r="L83" s="34" t="inlineStr">
        <is>
          <t>Plataforma (Django + PostgreSQL/PostGIS + AWS)</t>
        </is>
      </c>
      <c r="M83" s="34" t="inlineStr">
        <is>
          <t>RF-12; RF-23</t>
        </is>
      </c>
      <c r="N83" s="33" t="inlineStr">
        <is>
          <t>6</t>
        </is>
      </c>
    </row>
    <row r="84" ht="20.85" customHeight="1" s="26">
      <c r="A84" s="32" t="inlineStr">
        <is>
          <t>BD-001</t>
        </is>
      </c>
      <c r="B84" s="33" t="inlineStr">
        <is>
          <t>de integración</t>
        </is>
      </c>
      <c r="C84" s="34" t="inlineStr">
        <is>
          <t>Nicolas Diaz</t>
        </is>
      </c>
      <c r="D84" s="34" t="inlineStr">
        <is>
          <t>Integridad referencial (claves foráneas)</t>
        </is>
      </c>
      <c r="E84" s="34" t="inlineStr">
        <is>
          <t>db/schema.sql, migraciones</t>
        </is>
      </c>
      <c r="F84" s="34" t="inlineStr">
        <is>
          <t>inserción con FK inválida</t>
        </is>
      </c>
      <c r="G84" s="34" t="inlineStr">
        <is>
          <t>Rechaza la inserción; mantiene integridad</t>
        </is>
      </c>
      <c r="H84" s="34" t="inlineStr">
        <is>
          <t>Pendiente de ejecución</t>
        </is>
      </c>
      <c r="I84" s="33" t="inlineStr">
        <is>
          <t>PENDIENTE</t>
        </is>
      </c>
      <c r="J84" s="35" t="n"/>
      <c r="K84" s="34" t="inlineStr">
        <is>
          <t>Ejecutar en el Sprint 6 al implementar el módulo en Django (caso del plan del Sprint 2).</t>
        </is>
      </c>
      <c r="L84" s="34" t="inlineStr">
        <is>
          <t>Plataforma (Django + PostgreSQL/PostGIS + AWS)</t>
        </is>
      </c>
      <c r="M84" s="34" t="inlineStr">
        <is>
          <t>RNF-03; RNF-04</t>
        </is>
      </c>
      <c r="N84" s="33" t="inlineStr">
        <is>
          <t>6</t>
        </is>
      </c>
    </row>
    <row r="85" ht="20.85" customHeight="1" s="26">
      <c r="A85" s="32" t="inlineStr">
        <is>
          <t>BD-002</t>
        </is>
      </c>
      <c r="B85" s="33" t="inlineStr">
        <is>
          <t>de integración</t>
        </is>
      </c>
      <c r="C85" s="34" t="inlineStr">
        <is>
          <t>Juan Camilo Lopez</t>
        </is>
      </c>
      <c r="D85" s="34" t="inlineStr">
        <is>
          <t>Consultas geoespaciales PostGIS</t>
        </is>
      </c>
      <c r="E85" s="34" t="inlineStr">
        <is>
          <t>fincas/models.py, GIST index</t>
        </is>
      </c>
      <c r="F85" s="34" t="inlineStr">
        <is>
          <t>consulta por polígono/área</t>
        </is>
      </c>
      <c r="G85" s="34" t="inlineStr">
        <is>
          <t>Resultados correctos y con buen rendimiento</t>
        </is>
      </c>
      <c r="H85" s="34" t="inlineStr">
        <is>
          <t>Pendiente de ejecución</t>
        </is>
      </c>
      <c r="I85" s="33" t="inlineStr">
        <is>
          <t>PENDIENTE</t>
        </is>
      </c>
      <c r="J85" s="35" t="n"/>
      <c r="K85" s="34" t="inlineStr">
        <is>
          <t>Ejecutar en el Sprint 6 al implementar el módulo en Django (caso del plan del Sprint 2).</t>
        </is>
      </c>
      <c r="L85" s="34" t="inlineStr">
        <is>
          <t>Plataforma (Django + PostgreSQL/PostGIS + AWS)</t>
        </is>
      </c>
      <c r="M85" s="34" t="inlineStr">
        <is>
          <t>RF-05; RNF-07</t>
        </is>
      </c>
      <c r="N85" s="33" t="inlineStr">
        <is>
          <t>6</t>
        </is>
      </c>
    </row>
    <row r="86" ht="20.85" customHeight="1" s="26">
      <c r="A86" s="32" t="inlineStr">
        <is>
          <t>DP-001</t>
        </is>
      </c>
      <c r="B86" s="33" t="inlineStr">
        <is>
          <t>del sistema</t>
        </is>
      </c>
      <c r="C86" s="34" t="inlineStr">
        <is>
          <t>Jenifer Urbano</t>
        </is>
      </c>
      <c r="D86" s="34" t="inlineStr">
        <is>
          <t>Despliegue del frontend en S3 + CloudFront</t>
        </is>
      </c>
      <c r="E86" s="34" t="inlineStr">
        <is>
          <t>infra/, build React</t>
        </is>
      </c>
      <c r="F86" s="34" t="inlineStr">
        <is>
          <t>build estático publicado</t>
        </is>
      </c>
      <c r="G86" s="34" t="inlineStr">
        <is>
          <t>SPA accesible por HTTPS con caché</t>
        </is>
      </c>
      <c r="H86" s="34" t="inlineStr">
        <is>
          <t>Pendiente de ejecución</t>
        </is>
      </c>
      <c r="I86" s="33" t="inlineStr">
        <is>
          <t>PENDIENTE</t>
        </is>
      </c>
      <c r="J86" s="35" t="n"/>
      <c r="K86" s="34" t="inlineStr">
        <is>
          <t>Ejecutar en el Sprint 6 al implementar el módulo en Django (caso del plan del Sprint 2).</t>
        </is>
      </c>
      <c r="L86" s="34" t="inlineStr">
        <is>
          <t>Plataforma (Django + PostgreSQL/PostGIS + AWS)</t>
        </is>
      </c>
      <c r="M86" s="34" t="inlineStr">
        <is>
          <t>RF-23; LIT-86</t>
        </is>
      </c>
      <c r="N86" s="33" t="inlineStr">
        <is>
          <t>6</t>
        </is>
      </c>
    </row>
    <row r="87" ht="20.85" customHeight="1" s="26">
      <c r="A87" s="32" t="inlineStr">
        <is>
          <t>DP-002</t>
        </is>
      </c>
      <c r="B87" s="33" t="inlineStr">
        <is>
          <t>del sistema</t>
        </is>
      </c>
      <c r="C87" s="34" t="inlineStr">
        <is>
          <t>Nicolas Diaz</t>
        </is>
      </c>
      <c r="D87" s="34" t="inlineStr">
        <is>
          <t>Backend en Elastic Beanstalk + RDS</t>
        </is>
      </c>
      <c r="E87" s="34" t="inlineStr">
        <is>
          <t>infra/, Django + Gunicorn</t>
        </is>
      </c>
      <c r="F87" s="34" t="inlineStr">
        <is>
          <t>API desplegada y conectada a RDS</t>
        </is>
      </c>
      <c r="G87" s="34" t="inlineStr">
        <is>
          <t>API responde y persiste en PostgreSQL+PostGIS</t>
        </is>
      </c>
      <c r="H87" s="34" t="inlineStr">
        <is>
          <t>Pendiente de ejecución</t>
        </is>
      </c>
      <c r="I87" s="33" t="inlineStr">
        <is>
          <t>PENDIENTE</t>
        </is>
      </c>
      <c r="J87" s="35" t="n"/>
      <c r="K87" s="34" t="inlineStr">
        <is>
          <t>Ejecutar en el Sprint 6 al implementar el módulo en Django (caso del plan del Sprint 2).</t>
        </is>
      </c>
      <c r="L87" s="34" t="inlineStr">
        <is>
          <t>Plataforma (Django + PostgreSQL/PostGIS + AWS)</t>
        </is>
      </c>
      <c r="M87" s="34" t="inlineStr">
        <is>
          <t>RF-23; LIT-86</t>
        </is>
      </c>
      <c r="N87" s="33" t="inlineStr">
        <is>
          <t>6</t>
        </is>
      </c>
    </row>
    <row r="88" ht="40.25" customHeight="1" s="26">
      <c r="A88" s="32" t="inlineStr">
        <is>
          <t>DP-003</t>
        </is>
      </c>
      <c r="B88" s="33" t="inlineStr">
        <is>
          <t>del sistema</t>
        </is>
      </c>
      <c r="C88" s="34" t="inlineStr">
        <is>
          <t>Jenifer Urbano</t>
        </is>
      </c>
      <c r="D88" s="34" t="inlineStr">
        <is>
          <t>Compilar la aplicación para producción.</t>
        </is>
      </c>
      <c r="E88" s="34" t="inlineStr">
        <is>
          <t>package.json: npm run build (tsc -b &amp;&amp; vite build)</t>
        </is>
      </c>
      <c r="F88" s="34" t="inlineStr">
        <is>
          <t>código fuente del prototipo</t>
        </is>
      </c>
      <c r="G88" s="34" t="inlineStr">
        <is>
          <t>Compila sin errores de tipos y genera dist/ listo para S3 + CloudFront</t>
        </is>
      </c>
      <c r="H88" s="34" t="inlineStr">
        <is>
          <t>tsc -b sin errores y vite build OK en 712ms; bundle JS 975.98 kB (298.33 kB gzip); Vite advierte que el bundle supera 500 kB (sin code-splitting)</t>
        </is>
      </c>
      <c r="I88" s="33" t="inlineStr">
        <is>
          <t>SI</t>
        </is>
      </c>
      <c r="J88" s="35" t="n">
        <v>46294</v>
      </c>
      <c r="K88" s="34" t="inlineStr">
        <is>
          <t>Ejecutado automáticamente (pruebas/ejecutar.mjs). El responsable debe re-ejecutarlo y confirmar. Vite advierte que el bundle supera 500 kB: evaluar code-splitting por rol antes del despliegue (RNF-07).</t>
        </is>
      </c>
      <c r="L88" s="34" t="inlineStr">
        <is>
          <t>Prototipo React (demo estática)</t>
        </is>
      </c>
      <c r="M88" s="34" t="inlineStr">
        <is>
          <t>RF-23; RNF-04; LIT-86</t>
        </is>
      </c>
      <c r="N88" s="33" t="inlineStr">
        <is>
          <t>6</t>
        </is>
      </c>
    </row>
    <row r="89" ht="20.85" customHeight="1" s="26">
      <c r="A89" s="32" t="inlineStr">
        <is>
          <t>DP-004</t>
        </is>
      </c>
      <c r="B89" s="33" t="inlineStr">
        <is>
          <t>del sistema</t>
        </is>
      </c>
      <c r="C89" s="34" t="inlineStr">
        <is>
          <t>Nicolas Diaz</t>
        </is>
      </c>
      <c r="D89" s="34" t="inlineStr">
        <is>
          <t>Revisar logs y alarmas en CloudWatch.</t>
        </is>
      </c>
      <c r="E89" s="34" t="inlineStr">
        <is>
          <t>infra/ (CloudWatch)</t>
        </is>
      </c>
      <c r="F89" s="34" t="inlineStr">
        <is>
          <t>error 500 provocado en la API</t>
        </is>
      </c>
      <c r="G89" s="34" t="inlineStr">
        <is>
          <t>El error aparece en los logs y dispara la alarma configurada</t>
        </is>
      </c>
      <c r="H89" s="34" t="inlineStr">
        <is>
          <t>Pendiente de ejecución</t>
        </is>
      </c>
      <c r="I89" s="33" t="inlineStr">
        <is>
          <t>PENDIENTE</t>
        </is>
      </c>
      <c r="J89" s="35" t="n"/>
      <c r="K89" s="34" t="inlineStr">
        <is>
          <t>Ejecutar en el Sprint 6 al implementar el módulo en la plataforma.</t>
        </is>
      </c>
      <c r="L89" s="34" t="inlineStr">
        <is>
          <t>Plataforma (Django + PostgreSQL/PostGIS + AWS)</t>
        </is>
      </c>
      <c r="M89" s="34" t="inlineStr">
        <is>
          <t>RF-23; RNF-08; LIT-86</t>
        </is>
      </c>
      <c r="N89" s="33" t="inlineStr">
        <is>
          <t>6</t>
        </is>
      </c>
    </row>
    <row r="90" ht="20.85" customHeight="1" s="26">
      <c r="A90" s="32" t="inlineStr">
        <is>
          <t>RNF-001</t>
        </is>
      </c>
      <c r="B90" s="33" t="inlineStr">
        <is>
          <t>del sistema</t>
        </is>
      </c>
      <c r="C90" s="34" t="inlineStr">
        <is>
          <t>Juan Camilo Lopez</t>
        </is>
      </c>
      <c r="D90" s="34" t="inlineStr">
        <is>
          <t>Exactitud de cálculos (comisiones y pesos)</t>
        </is>
      </c>
      <c r="E90" s="34" t="inlineStr">
        <is>
          <t>transacciones/, calidad/</t>
        </is>
      </c>
      <c r="F90" s="34" t="inlineStr">
        <is>
          <t>casos límite de cálculo</t>
        </is>
      </c>
      <c r="G90" s="34" t="inlineStr">
        <is>
          <t>Resultados exactos (RNF-01)</t>
        </is>
      </c>
      <c r="H90" s="34" t="inlineStr">
        <is>
          <t>Pendiente de ejecución</t>
        </is>
      </c>
      <c r="I90" s="33" t="inlineStr">
        <is>
          <t>PENDIENTE</t>
        </is>
      </c>
      <c r="J90" s="35" t="n"/>
      <c r="K90" s="34" t="inlineStr">
        <is>
          <t>Ejecutar en el Sprint 6 al implementar el módulo en Django (caso del plan del Sprint 2).</t>
        </is>
      </c>
      <c r="L90" s="34" t="inlineStr">
        <is>
          <t>Plataforma (Django + PostgreSQL/PostGIS + AWS)</t>
        </is>
      </c>
      <c r="M90" s="34" t="inlineStr">
        <is>
          <t>RNF-01; LIT-87</t>
        </is>
      </c>
      <c r="N90" s="33" t="inlineStr">
        <is>
          <t>6</t>
        </is>
      </c>
    </row>
    <row r="91" ht="20.85" customHeight="1" s="26">
      <c r="A91" s="32" t="inlineStr">
        <is>
          <t>RNF-002</t>
        </is>
      </c>
      <c r="B91" s="33" t="inlineStr">
        <is>
          <t>del sistema</t>
        </is>
      </c>
      <c r="C91" s="34" t="inlineStr">
        <is>
          <t>Nicolas Diaz</t>
        </is>
      </c>
      <c r="D91" s="34" t="inlineStr">
        <is>
          <t>Usabilidad: protección contra errores de captura</t>
        </is>
      </c>
      <c r="E91" s="34" t="inlineStr">
        <is>
          <t>formularios y validaciones</t>
        </is>
      </c>
      <c r="F91" s="34" t="inlineStr">
        <is>
          <t>datos inválidos en formularios</t>
        </is>
      </c>
      <c r="G91" s="34" t="inlineStr">
        <is>
          <t>Muestra errores y no guarda datos inválidos (RNF-02)</t>
        </is>
      </c>
      <c r="H91" s="34" t="inlineStr">
        <is>
          <t>Pendiente de ejecución</t>
        </is>
      </c>
      <c r="I91" s="33" t="inlineStr">
        <is>
          <t>PENDIENTE</t>
        </is>
      </c>
      <c r="J91" s="35" t="n"/>
      <c r="K91" s="34" t="inlineStr">
        <is>
          <t>Ejecutar en el Sprint 6 al implementar el módulo en Django (caso del plan del Sprint 2).</t>
        </is>
      </c>
      <c r="L91" s="34" t="inlineStr">
        <is>
          <t>Plataforma (Django + PostgreSQL/PostGIS + AWS)</t>
        </is>
      </c>
      <c r="M91" s="34" t="inlineStr">
        <is>
          <t>RNF-02; LIT-87</t>
        </is>
      </c>
      <c r="N91" s="33" t="inlineStr">
        <is>
          <t>6</t>
        </is>
      </c>
    </row>
    <row r="92" ht="20.85" customHeight="1" s="26">
      <c r="A92" s="32" t="inlineStr">
        <is>
          <t>RNF-003</t>
        </is>
      </c>
      <c r="B92" s="33" t="inlineStr">
        <is>
          <t>del sistema</t>
        </is>
      </c>
      <c r="C92" s="34" t="inlineStr">
        <is>
          <t>Jenifer Urbano</t>
        </is>
      </c>
      <c r="D92" s="34" t="inlineStr">
        <is>
          <t>Seguridad y privacidad de datos</t>
        </is>
      </c>
      <c r="E92" s="34" t="inlineStr">
        <is>
          <t>settings.py, permisos, HTTPS</t>
        </is>
      </c>
      <c r="F92" s="34" t="inlineStr">
        <is>
          <t>acceso no autorizado a datos privados</t>
        </is>
      </c>
      <c r="G92" s="34" t="inlineStr">
        <is>
          <t>Acceso denegado; datos protegidos (RNF-05/09)</t>
        </is>
      </c>
      <c r="H92" s="34" t="inlineStr">
        <is>
          <t>Pendiente de ejecución</t>
        </is>
      </c>
      <c r="I92" s="33" t="inlineStr">
        <is>
          <t>PENDIENTE</t>
        </is>
      </c>
      <c r="J92" s="35" t="n"/>
      <c r="K92" s="34" t="inlineStr">
        <is>
          <t>Ejecutar en el Sprint 6 al implementar el módulo en Django (caso del plan del Sprint 2).</t>
        </is>
      </c>
      <c r="L92" s="34" t="inlineStr">
        <is>
          <t>Plataforma (Django + PostgreSQL/PostGIS + AWS)</t>
        </is>
      </c>
      <c r="M92" s="34" t="inlineStr">
        <is>
          <t>RNF-05; RNF-09; LIT-87</t>
        </is>
      </c>
      <c r="N92" s="33" t="inlineStr">
        <is>
          <t>6</t>
        </is>
      </c>
    </row>
    <row r="93" ht="20.85" customHeight="1" s="26">
      <c r="A93" s="32" t="inlineStr">
        <is>
          <t>RNF-004</t>
        </is>
      </c>
      <c r="B93" s="33" t="inlineStr">
        <is>
          <t>del sistema</t>
        </is>
      </c>
      <c r="C93" s="34" t="inlineStr">
        <is>
          <t>Jenifer Urbano</t>
        </is>
      </c>
      <c r="D93" s="34" t="inlineStr">
        <is>
          <t>Respaldo automático en la nube</t>
        </is>
      </c>
      <c r="E93" s="34" t="inlineStr">
        <is>
          <t>infra/ (RDS backups)</t>
        </is>
      </c>
      <c r="F93" s="34" t="inlineStr">
        <is>
          <t>ventana de respaldo</t>
        </is>
      </c>
      <c r="G93" s="34" t="inlineStr">
        <is>
          <t>Respaldo generado y verificable (RNF-06)</t>
        </is>
      </c>
      <c r="H93" s="34" t="inlineStr">
        <is>
          <t>Pendiente de ejecución</t>
        </is>
      </c>
      <c r="I93" s="33" t="inlineStr">
        <is>
          <t>PENDIENTE</t>
        </is>
      </c>
      <c r="J93" s="35" t="n"/>
      <c r="K93" s="34" t="inlineStr">
        <is>
          <t>Ejecutar en el Sprint 6 al implementar el módulo en Django (caso del plan del Sprint 2).</t>
        </is>
      </c>
      <c r="L93" s="34" t="inlineStr">
        <is>
          <t>Plataforma (Django + PostgreSQL/PostGIS + AWS)</t>
        </is>
      </c>
      <c r="M93" s="34" t="inlineStr">
        <is>
          <t>RNF-06; LIT-87</t>
        </is>
      </c>
      <c r="N93" s="33" t="inlineStr">
        <is>
          <t>6</t>
        </is>
      </c>
    </row>
    <row r="94" ht="20.85" customHeight="1" s="26">
      <c r="A94" s="32" t="inlineStr">
        <is>
          <t>RNF-005</t>
        </is>
      </c>
      <c r="B94" s="33" t="inlineStr">
        <is>
          <t>unitario</t>
        </is>
      </c>
      <c r="C94" s="34" t="inlineStr">
        <is>
          <t>Nicolas Diaz</t>
        </is>
      </c>
      <c r="D94" s="34" t="inlineStr">
        <is>
          <t>Verificar que la interfaz tiene todas las cadenas traducidas en español e inglés.</t>
        </is>
      </c>
      <c r="E94" s="34" t="inlineStr">
        <is>
          <t>src/i18n/es.ts, src/i18n/en.ts</t>
        </is>
      </c>
      <c r="F94" s="34" t="inlineStr">
        <is>
          <t>diccionarios ES y EN</t>
        </is>
      </c>
      <c r="G94" s="34" t="inlineStr">
        <is>
          <t>Mismo conjunto de claves en ES y EN, sin textos vacíos (RNF-10)</t>
        </is>
      </c>
      <c r="H94" s="34" t="inlineStr">
        <is>
          <t>475 claves en ES, 475 en EN; faltan en EN: 0; sobran: 0; vacías: 0</t>
        </is>
      </c>
      <c r="I94" s="33" t="inlineStr">
        <is>
          <t>SI</t>
        </is>
      </c>
      <c r="J94" s="35" t="n">
        <v>46294</v>
      </c>
      <c r="K94" s="34" t="inlineStr">
        <is>
          <t>Ejecutado automáticamente (pruebas/ejecutar.mjs). El responsable debe re-ejecutarlo y confirmar.</t>
        </is>
      </c>
      <c r="L94" s="34" t="inlineStr">
        <is>
          <t>Prototipo React (demo estática)</t>
        </is>
      </c>
      <c r="M94" s="34" t="inlineStr">
        <is>
          <t>RNF-10</t>
        </is>
      </c>
      <c r="N94" s="33" t="inlineStr">
        <is>
          <t>6</t>
        </is>
      </c>
    </row>
    <row r="95" ht="20.85" customHeight="1" s="26">
      <c r="A95" s="32" t="inlineStr">
        <is>
          <t>RNF-006</t>
        </is>
      </c>
      <c r="B95" s="33" t="inlineStr">
        <is>
          <t>unitario</t>
        </is>
      </c>
      <c r="C95" s="34" t="inlineStr">
        <is>
          <t>Jenifer Urbano</t>
        </is>
      </c>
      <c r="D95" s="34" t="inlineStr">
        <is>
          <t>Verificar que cada foto tiene autor y licencia registrados.</t>
        </is>
      </c>
      <c r="E95" s="34" t="inlineStr">
        <is>
          <t>src/data/imageCredits.ts, public/images</t>
        </is>
      </c>
      <c r="F95" s="34" t="inlineStr">
        <is>
          <t>archivos de public/images y lista de créditos</t>
        </is>
      </c>
      <c r="G95" s="34" t="inlineStr">
        <is>
          <t>Toda imagen tiene crédito con autor, licencia, fuente y texto alternativo ES/EN (CC BY-SA exige atribución)</t>
        </is>
      </c>
      <c r="H95" s="34" t="inlineStr">
        <is>
          <t>10 imágenes en public/images, 10 créditos; sin crédito: ninguna; créditos incompletos: ninguno</t>
        </is>
      </c>
      <c r="I95" s="33" t="inlineStr">
        <is>
          <t>SI</t>
        </is>
      </c>
      <c r="J95" s="35" t="n">
        <v>46294</v>
      </c>
      <c r="K95" s="34" t="inlineStr">
        <is>
          <t>Ejecutado automáticamente (pruebas/ejecutar.mjs). El responsable debe re-ejecutarlo y confirmar.</t>
        </is>
      </c>
      <c r="L95" s="34" t="inlineStr">
        <is>
          <t>Prototipo React (demo estática)</t>
        </is>
      </c>
      <c r="M95" s="34" t="inlineStr">
        <is>
          <t>RNF-05</t>
        </is>
      </c>
      <c r="N95" s="33" t="inlineStr">
        <is>
          <t>6</t>
        </is>
      </c>
    </row>
    <row r="96" ht="40.25" customHeight="1" s="26">
      <c r="A96" s="32" t="inlineStr">
        <is>
          <t>RNF-007</t>
        </is>
      </c>
      <c r="B96" s="33" t="inlineStr">
        <is>
          <t>del sistema</t>
        </is>
      </c>
      <c r="C96" s="34" t="inlineStr">
        <is>
          <t>Juan Camilo Lopez</t>
        </is>
      </c>
      <c r="D96" s="34" t="inlineStr">
        <is>
          <t>Analizar el código con el linter.</t>
        </is>
      </c>
      <c r="E96" s="34" t="inlineStr">
        <is>
          <t>package.json: npm run lint (oxlint)</t>
        </is>
      </c>
      <c r="F96" s="34" t="inlineStr">
        <is>
          <t>código fuente del prototipo</t>
        </is>
      </c>
      <c r="G96" s="34" t="inlineStr">
        <is>
          <t>0 errores de lint (mantenibilidad, RNF-04)</t>
        </is>
      </c>
      <c r="H96" s="34" t="inlineStr">
        <is>
          <t>oxlint terminó con código 0: 0 errores, 64 advertencias (58 en código de la librería src/components/ui y src/lib/cojeev, 6 en código propio)</t>
        </is>
      </c>
      <c r="I96" s="33" t="inlineStr">
        <is>
          <t>SI</t>
        </is>
      </c>
      <c r="J96" s="35" t="n">
        <v>46294</v>
      </c>
      <c r="K96" s="34" t="inlineStr">
        <is>
          <t>Ejecutado automáticamente (pruebas/ejecutar.mjs). El responsable debe re-ejecutarlo y confirmar. Revisar las advertencias en código propio; las de src/components/ui son de la librería.</t>
        </is>
      </c>
      <c r="L96" s="34" t="inlineStr">
        <is>
          <t>Prototipo React (demo estática)</t>
        </is>
      </c>
      <c r="M96" s="34" t="inlineStr">
        <is>
          <t>RNF-04</t>
        </is>
      </c>
      <c r="N96" s="33" t="inlineStr">
        <is>
          <t>6</t>
        </is>
      </c>
    </row>
    <row r="97" ht="30.55" customHeight="1" s="26">
      <c r="A97" s="32" t="inlineStr">
        <is>
          <t>RNF-008</t>
        </is>
      </c>
      <c r="B97" s="33" t="inlineStr">
        <is>
          <t>del sistema</t>
        </is>
      </c>
      <c r="C97" s="34" t="inlineStr">
        <is>
          <t>Jenifer Urbano</t>
        </is>
      </c>
      <c r="D97" s="34" t="inlineStr">
        <is>
          <t>Verificar el contraste de la paleta y del texto sobre fotos.</t>
        </is>
      </c>
      <c r="E97" s="34" t="inlineStr">
        <is>
          <t>scripts/contrast.mjs (npm run contrast)</t>
        </is>
      </c>
      <c r="F97" s="34" t="inlineStr">
        <is>
          <t>tokens de color de src/styles/ritech-theme.css</t>
        </is>
      </c>
      <c r="G97" s="34" t="inlineStr">
        <is>
          <t>Todos los pares cumplen WCAG 2.1 AA: texto ≥ 4,5:1; bordes e íconos ≥ 3:1</t>
        </is>
      </c>
      <c r="H97" s="34" t="inlineStr">
        <is>
          <t>36 combinaciones verificadas, 0 fallan; texto: mínimo 5.20:1 (exige 4.5:1); bordes/íconos: mínimo 3.90:1 (exige 3:1)</t>
        </is>
      </c>
      <c r="I97" s="33" t="inlineStr">
        <is>
          <t>SI</t>
        </is>
      </c>
      <c r="J97" s="35" t="n">
        <v>46294</v>
      </c>
      <c r="K97" s="34" t="inlineStr">
        <is>
          <t>Ejecutado automáticamente (pruebas/ejecutar.mjs). El responsable debe re-ejecutarlo y confirmar.</t>
        </is>
      </c>
      <c r="L97" s="34" t="inlineStr">
        <is>
          <t>Prototipo React (demo estática)</t>
        </is>
      </c>
      <c r="M97" s="34" t="inlineStr">
        <is>
          <t>RNF-02</t>
        </is>
      </c>
      <c r="N97" s="33" t="inlineStr">
        <is>
          <t>6</t>
        </is>
      </c>
    </row>
    <row r="98" ht="20.85" customHeight="1" s="26">
      <c r="A98" s="32" t="inlineStr">
        <is>
          <t>RNF-009</t>
        </is>
      </c>
      <c r="B98" s="33" t="inlineStr">
        <is>
          <t>del sistema</t>
        </is>
      </c>
      <c r="C98" s="34" t="inlineStr">
        <is>
          <t>Jenifer Urbano</t>
        </is>
      </c>
      <c r="D98" s="34" t="inlineStr">
        <is>
          <t>Comprobar que la interfaz no usa degradados (requisito del cliente).</t>
        </is>
      </c>
      <c r="E98" s="34" t="inlineStr">
        <is>
          <t>src/ (búsqueda de linear/radial/conic-gradient)</t>
        </is>
      </c>
      <c r="F98" s="34" t="inlineStr">
        <is>
          <t>todo el código fuente</t>
        </is>
      </c>
      <c r="G98" s="34" t="inlineStr">
        <is>
          <t>0 degradados en el código</t>
        </is>
      </c>
      <c r="H98" s="34" t="inlineStr">
        <is>
          <t>0 coincidencias de linear/radial/conic-gradient en src/</t>
        </is>
      </c>
      <c r="I98" s="33" t="inlineStr">
        <is>
          <t>SI</t>
        </is>
      </c>
      <c r="J98" s="35" t="n">
        <v>46294</v>
      </c>
      <c r="K98" s="34" t="inlineStr">
        <is>
          <t>Ejecutado automáticamente (pruebas/ejecutar.mjs). El responsable debe re-ejecutarlo y confirmar.</t>
        </is>
      </c>
      <c r="L98" s="34" t="inlineStr">
        <is>
          <t>Prototipo React (demo estática)</t>
        </is>
      </c>
      <c r="M98" s="34" t="inlineStr">
        <is>
          <t>RNF-02</t>
        </is>
      </c>
      <c r="N98" s="33" t="inlineStr">
        <is>
          <t>6</t>
        </is>
      </c>
    </row>
    <row r="99" ht="20.85" customHeight="1" s="26">
      <c r="A99" s="32" t="inlineStr">
        <is>
          <t>RNF-010</t>
        </is>
      </c>
      <c r="B99" s="33" t="inlineStr">
        <is>
          <t>del sistema</t>
        </is>
      </c>
      <c r="C99" s="34" t="inlineStr">
        <is>
          <t>Nicolas Diaz</t>
        </is>
      </c>
      <c r="D99" s="34" t="inlineStr">
        <is>
          <t>Cambiar el idioma de la interfaz.</t>
        </is>
      </c>
      <c r="E99" s="34" t="inlineStr">
        <is>
          <t>src/i18n/I18nProvider.tsx, selector ES/EN</t>
        </is>
      </c>
      <c r="F99" s="34" t="inlineStr">
        <is>
          <t>cambiar a EN en cada vista y recargar</t>
        </is>
      </c>
      <c r="G99" s="34" t="inlineStr">
        <is>
          <t>Todos los textos, fechas y montos cambian de idioma y la preferencia se conserva (RNF-10)</t>
        </is>
      </c>
      <c r="H99" s="34" t="inlineStr">
        <is>
          <t>Pendiente de ejecución</t>
        </is>
      </c>
      <c r="I99" s="33" t="inlineStr">
        <is>
          <t>PENDIENTE</t>
        </is>
      </c>
      <c r="J99" s="35" t="n"/>
      <c r="K99" s="34" t="inlineStr">
        <is>
          <t>Ejecutar manualmente sobre el prototipo (npm run dev) y adjuntar pantallazos como evidencia.</t>
        </is>
      </c>
      <c r="L99" s="34" t="inlineStr">
        <is>
          <t>Prototipo React (demo estática)</t>
        </is>
      </c>
      <c r="M99" s="34" t="inlineStr">
        <is>
          <t>RNF-10</t>
        </is>
      </c>
      <c r="N99" s="33" t="inlineStr">
        <is>
          <t>6</t>
        </is>
      </c>
    </row>
    <row r="100" ht="20.85" customHeight="1" s="26">
      <c r="A100" s="32" t="inlineStr">
        <is>
          <t>RNF-011</t>
        </is>
      </c>
      <c r="B100" s="33" t="inlineStr">
        <is>
          <t>del sistema</t>
        </is>
      </c>
      <c r="C100" s="34" t="inlineStr">
        <is>
          <t>Juan Camilo Lopez</t>
        </is>
      </c>
      <c r="D100" s="34" t="inlineStr">
        <is>
          <t>Revisar el diseño responsive.</t>
        </is>
      </c>
      <c r="E100" s="34" t="inlineStr">
        <is>
          <t>src/components/layout/*, páginas por rol</t>
        </is>
      </c>
      <c r="F100" s="34" t="inlineStr">
        <is>
          <t>anchos de 360, 768 y 1280 px</t>
        </is>
      </c>
      <c r="G100" s="34" t="inlineStr">
        <is>
          <t>Sin scroll horizontal ni contenido cortado; botones de al menos 44 px</t>
        </is>
      </c>
      <c r="H100" s="34" t="inlineStr">
        <is>
          <t>Pendiente de ejecución</t>
        </is>
      </c>
      <c r="I100" s="33" t="inlineStr">
        <is>
          <t>PENDIENTE</t>
        </is>
      </c>
      <c r="J100" s="35" t="n"/>
      <c r="K100" s="34" t="inlineStr">
        <is>
          <t>Ejecutar manualmente sobre el prototipo (npm run dev) y adjuntar pantallazos como evidencia.</t>
        </is>
      </c>
      <c r="L100" s="34" t="inlineStr">
        <is>
          <t>Prototipo React (demo estática)</t>
        </is>
      </c>
      <c r="M100" s="34" t="inlineStr">
        <is>
          <t>RNF-02</t>
        </is>
      </c>
      <c r="N100" s="33" t="inlineStr">
        <is>
          <t>6</t>
        </is>
      </c>
    </row>
    <row r="101" ht="30.55" customHeight="1" s="26">
      <c r="A101" s="32" t="inlineStr">
        <is>
          <t>RNF-012</t>
        </is>
      </c>
      <c r="B101" s="33" t="inlineStr">
        <is>
          <t>del sistema</t>
        </is>
      </c>
      <c r="C101" s="34" t="inlineStr">
        <is>
          <t>Nicolas Diaz</t>
        </is>
      </c>
      <c r="D101" s="34" t="inlineStr">
        <is>
          <t>Navegar solo con teclado y con lector de pantalla.</t>
        </is>
      </c>
      <c r="E101" s="34" t="inlineStr">
        <is>
          <t>src/components/layout/Brand.tsx (SkipLink), Page.tsx</t>
        </is>
      </c>
      <c r="F101" s="34" t="inlineStr">
        <is>
          <t>Tab / Shift+Tab / Enter; NVDA u Orca</t>
        </is>
      </c>
      <c r="G101" s="34" t="inlineStr">
        <is>
          <t>Enlace para saltar al contenido, foco visible, un solo h1 por vista y estados anunciados con texto (WCAG 2.1 AA)</t>
        </is>
      </c>
      <c r="H101" s="34" t="inlineStr">
        <is>
          <t>Pendiente de ejecución</t>
        </is>
      </c>
      <c r="I101" s="33" t="inlineStr">
        <is>
          <t>PENDIENTE</t>
        </is>
      </c>
      <c r="J101" s="35" t="n"/>
      <c r="K101" s="34" t="inlineStr">
        <is>
          <t>Ejecutar manualmente sobre el prototipo (npm run dev) y adjuntar pantallazos como evidencia.</t>
        </is>
      </c>
      <c r="L101" s="34" t="inlineStr">
        <is>
          <t>Prototipo React (demo estática)</t>
        </is>
      </c>
      <c r="M101" s="34" t="inlineStr">
        <is>
          <t>RNF-02</t>
        </is>
      </c>
      <c r="N101" s="33" t="inlineStr">
        <is>
          <t>6</t>
        </is>
      </c>
    </row>
    <row r="102" ht="20.85" customHeight="1" s="26">
      <c r="A102" s="32" t="inlineStr">
        <is>
          <t>RNF-013</t>
        </is>
      </c>
      <c r="B102" s="33" t="inlineStr">
        <is>
          <t>del sistema</t>
        </is>
      </c>
      <c r="C102" s="34" t="inlineStr">
        <is>
          <t>Jenifer Urbano</t>
        </is>
      </c>
      <c r="D102" s="34" t="inlineStr">
        <is>
          <t>Medir el tiempo de respuesta de la búsqueda de lotes.</t>
        </is>
      </c>
      <c r="E102" s="34" t="inlineStr">
        <is>
          <t>marketplace/views.py + índices PostgreSQL</t>
        </is>
      </c>
      <c r="F102" s="34" t="inlineStr">
        <is>
          <t>10.000 lotes; 50 usuarios concurrentes</t>
        </is>
      </c>
      <c r="G102" s="34" t="inlineStr">
        <is>
          <t>Percentil 95 menor a 2 s (umbral propuesto por el equipo, a validar con el stakeholder) (RNF-07)</t>
        </is>
      </c>
      <c r="H102" s="34" t="inlineStr">
        <is>
          <t>Pendiente de ejecución</t>
        </is>
      </c>
      <c r="I102" s="33" t="inlineStr">
        <is>
          <t>PENDIENTE</t>
        </is>
      </c>
      <c r="J102" s="35" t="n"/>
      <c r="K102" s="34" t="inlineStr">
        <is>
          <t>Ejecutar en el Sprint 6 al implementar el módulo en la plataforma.</t>
        </is>
      </c>
      <c r="L102" s="34" t="inlineStr">
        <is>
          <t>Plataforma (Django + PostgreSQL/PostGIS + AWS)</t>
        </is>
      </c>
      <c r="M102" s="34" t="inlineStr">
        <is>
          <t>RF-10; RNF-07; LIT-87</t>
        </is>
      </c>
      <c r="N102" s="33" t="inlineStr">
        <is>
          <t>6</t>
        </is>
      </c>
    </row>
    <row r="103" ht="20.85" customHeight="1" s="26">
      <c r="A103" s="32" t="inlineStr">
        <is>
          <t>RNF-014</t>
        </is>
      </c>
      <c r="B103" s="33" t="inlineStr">
        <is>
          <t>del sistema</t>
        </is>
      </c>
      <c r="C103" s="34" t="inlineStr">
        <is>
          <t>Nicolas Diaz</t>
        </is>
      </c>
      <c r="D103" s="34" t="inlineStr">
        <is>
          <t>Proteger los documentos privados en S3.</t>
        </is>
      </c>
      <c r="E103" s="34" t="inlineStr">
        <is>
          <t>infra/ (S3, URLs prefirmadas)</t>
        </is>
      </c>
      <c r="F103" s="34" t="inlineStr">
        <is>
          <t>acceso directo a un certificado y URL prefirmada vencida</t>
        </is>
      </c>
      <c r="G103" s="34" t="inlineStr">
        <is>
          <t>Acceso denegado sin URL válida; la URL prefirmada expira (RNF-05)</t>
        </is>
      </c>
      <c r="H103" s="34" t="inlineStr">
        <is>
          <t>Pendiente de ejecución</t>
        </is>
      </c>
      <c r="I103" s="33" t="inlineStr">
        <is>
          <t>PENDIENTE</t>
        </is>
      </c>
      <c r="J103" s="35" t="n"/>
      <c r="K103" s="34" t="inlineStr">
        <is>
          <t>Ejecutar en el Sprint 6 al implementar el módulo en la plataforma.</t>
        </is>
      </c>
      <c r="L103" s="34" t="inlineStr">
        <is>
          <t>Plataforma (Django + PostgreSQL/PostGIS + AWS)</t>
        </is>
      </c>
      <c r="M103" s="34" t="inlineStr">
        <is>
          <t>RF-06; RNF-05; LIT-87</t>
        </is>
      </c>
      <c r="N103" s="33" t="inlineStr">
        <is>
          <t>6</t>
        </is>
      </c>
    </row>
    <row r="104" ht="20.85" customHeight="1" s="26">
      <c r="A104" s="32" t="inlineStr">
        <is>
          <t>RNF-015</t>
        </is>
      </c>
      <c r="B104" s="33" t="inlineStr">
        <is>
          <t>del sistema</t>
        </is>
      </c>
      <c r="C104" s="34" t="inlineStr">
        <is>
          <t>Jenifer Urbano</t>
        </is>
      </c>
      <c r="D104" s="34" t="inlineStr">
        <is>
          <t>Probar inyección SQL y XSS en el chat y los filtros.</t>
        </is>
      </c>
      <c r="E104" s="34" t="inlineStr">
        <is>
          <t>marketplace/views.py, chat</t>
        </is>
      </c>
      <c r="F104" s="34" t="inlineStr">
        <is>
          <t>' OR 1=1 --  y  &lt;script&gt;alert(1)&lt;/script&gt;</t>
        </is>
      </c>
      <c r="G104" s="34" t="inlineStr">
        <is>
          <t>Entradas tratadas como texto: sin ejecución de script ni fuga de datos (OWASP Top 10)</t>
        </is>
      </c>
      <c r="H104" s="34" t="inlineStr">
        <is>
          <t>Pendiente de ejecución</t>
        </is>
      </c>
      <c r="I104" s="33" t="inlineStr">
        <is>
          <t>PENDIENTE</t>
        </is>
      </c>
      <c r="J104" s="35" t="n"/>
      <c r="K104" s="34" t="inlineStr">
        <is>
          <t>Ejecutar en el Sprint 6 al implementar el módulo en la plataforma.</t>
        </is>
      </c>
      <c r="L104" s="34" t="inlineStr">
        <is>
          <t>Plataforma (Django + PostgreSQL/PostGIS + AWS)</t>
        </is>
      </c>
      <c r="M104" s="34" t="inlineStr">
        <is>
          <t>RF-10; RF-11; RNF-05; LIT-87</t>
        </is>
      </c>
      <c r="N104" s="33" t="inlineStr">
        <is>
          <t>6</t>
        </is>
      </c>
    </row>
    <row r="105" ht="20.85" customHeight="1" s="26">
      <c r="A105" s="32" t="inlineStr">
        <is>
          <t>RNF-016</t>
        </is>
      </c>
      <c r="B105" s="33" t="inlineStr">
        <is>
          <t>del sistema</t>
        </is>
      </c>
      <c r="C105" s="34" t="inlineStr">
        <is>
          <t>Jenifer Urbano</t>
        </is>
      </c>
      <c r="D105" s="34" t="inlineStr">
        <is>
          <t>Desplegar una versión sin interrumpir el servicio.</t>
        </is>
      </c>
      <c r="E105" s="34" t="inlineStr">
        <is>
          <t>infra/ (Elastic Beanstalk, despliegue continuo)</t>
        </is>
      </c>
      <c r="F105" s="34" t="inlineStr">
        <is>
          <t>despliegue de una release mensual con tráfico activo</t>
        </is>
      </c>
      <c r="G105" s="34" t="inlineStr">
        <is>
          <t>Sin errores para los usuarios durante el despliegue (RNF-08)</t>
        </is>
      </c>
      <c r="H105" s="34" t="inlineStr">
        <is>
          <t>Pendiente de ejecución</t>
        </is>
      </c>
      <c r="I105" s="33" t="inlineStr">
        <is>
          <t>PENDIENTE</t>
        </is>
      </c>
      <c r="J105" s="35" t="n"/>
      <c r="K105" s="34" t="inlineStr">
        <is>
          <t>Ejecutar en el Sprint 6 al implementar el módulo en la plataforma.</t>
        </is>
      </c>
      <c r="L105" s="34" t="inlineStr">
        <is>
          <t>Plataforma (Django + PostgreSQL/PostGIS + AWS)</t>
        </is>
      </c>
      <c r="M105" s="34" t="inlineStr">
        <is>
          <t>RNF-08; RN-15; LIT-86</t>
        </is>
      </c>
      <c r="N105" s="33" t="inlineStr">
        <is>
          <t>6</t>
        </is>
      </c>
    </row>
    <row r="106" ht="49.95" customHeight="1" s="26">
      <c r="A106" s="32" t="inlineStr">
        <is>
          <t>AC-001</t>
        </is>
      </c>
      <c r="B106" s="33" t="inlineStr">
        <is>
          <t>de aceptación</t>
        </is>
      </c>
      <c r="C106" s="34" t="inlineStr">
        <is>
          <t>Jenifer Urbano</t>
        </is>
      </c>
      <c r="D106" s="34" t="inlineStr">
        <is>
          <t>Recorrer el flujo completo entre roles con el Product Owner.</t>
        </is>
      </c>
      <c r="E106" s="34" t="inlineStr">
        <is>
          <t>Prototipo completo (DemoStore compartido)</t>
        </is>
      </c>
      <c r="F106" s="34" t="inlineStr">
        <is>
          <t>propietario registra finca → admin valida → vendedor publica → comprador negocia y acuerda → muestra → tracker → comprador acepta</t>
        </is>
      </c>
      <c r="G106" s="34" t="inlineStr">
        <is>
          <t>El pago se libera al vendedor y el PO aprueba el flujo con pantallazos (Definition of Done)</t>
        </is>
      </c>
      <c r="H106" s="34" t="inlineStr">
        <is>
          <t>Pendiente de ejecución</t>
        </is>
      </c>
      <c r="I106" s="33" t="inlineStr">
        <is>
          <t>PENDIENTE</t>
        </is>
      </c>
      <c r="J106" s="35" t="n"/>
      <c r="K106" s="34" t="inlineStr">
        <is>
          <t>Ejecutar manualmente sobre el prototipo (npm run dev) y adjuntar pantallazos como evidencia.</t>
        </is>
      </c>
      <c r="L106" s="34" t="inlineStr">
        <is>
          <t>Prototipo React (demo estática)</t>
        </is>
      </c>
      <c r="M106" s="34" t="inlineStr">
        <is>
          <t>RF-01; RF-05; RF-09; RF-12; RF-13; RF-18; RF-20; RN-15</t>
        </is>
      </c>
      <c r="N106" s="33" t="inlineStr">
        <is>
          <t>1-6</t>
        </is>
      </c>
    </row>
    <row r="107" ht="20.85" customHeight="1" s="26">
      <c r="A107" s="32" t="inlineStr">
        <is>
          <t>AC-002</t>
        </is>
      </c>
      <c r="B107" s="33" t="inlineStr">
        <is>
          <t>de aceptación</t>
        </is>
      </c>
      <c r="C107" s="34" t="inlineStr">
        <is>
          <t>Jenifer Urbano</t>
        </is>
      </c>
      <c r="D107" s="34" t="inlineStr">
        <is>
          <t>Recorrer el flujo con disputa con el Product Owner.</t>
        </is>
      </c>
      <c r="E107" s="34" t="inlineStr">
        <is>
          <t>Prototipo completo (DemoStore compartido)</t>
        </is>
      </c>
      <c r="F107" s="34" t="inlineStr">
        <is>
          <t>comprador rechaza el producto → administrador resuelve con reembolso</t>
        </is>
      </c>
      <c r="G107" s="34" t="inlineStr">
        <is>
          <t>El dinero vuelve al comprador y la disputa queda resuelta y auditada; el PO aprueba</t>
        </is>
      </c>
      <c r="H107" s="34" t="inlineStr">
        <is>
          <t>Pendiente de ejecución</t>
        </is>
      </c>
      <c r="I107" s="33" t="inlineStr">
        <is>
          <t>PENDIENTE</t>
        </is>
      </c>
      <c r="J107" s="35" t="n"/>
      <c r="K107" s="34" t="inlineStr">
        <is>
          <t>Ejecutar manualmente sobre el prototipo (npm run dev) y adjuntar pantallazos como evidencia.</t>
        </is>
      </c>
      <c r="L107" s="34" t="inlineStr">
        <is>
          <t>Prototipo React (demo estática)</t>
        </is>
      </c>
      <c r="M107" s="34" t="inlineStr">
        <is>
          <t>RF-15; RF-18; RF-21; RN-15</t>
        </is>
      </c>
      <c r="N107" s="33" t="inlineStr">
        <is>
          <t>1-6</t>
        </is>
      </c>
    </row>
    <row r="108" ht="20.85" customHeight="1" s="26">
      <c r="A108" s="32" t="inlineStr">
        <is>
          <t>AC-003</t>
        </is>
      </c>
      <c r="B108" s="33" t="inlineStr">
        <is>
          <t>de aceptación</t>
        </is>
      </c>
      <c r="C108" s="34" t="inlineStr">
        <is>
          <t>Nicolas Diaz</t>
        </is>
      </c>
      <c r="D108" s="34" t="inlineStr">
        <is>
          <t>Verificar la lista de requisitos no funcionales antes de cada release.</t>
        </is>
      </c>
      <c r="E108" s="34" t="inlineStr">
        <is>
          <t>Checklist RNF-01 a RNF-11 (hoja Trazabilidad)</t>
        </is>
      </c>
      <c r="F108" s="34" t="inlineStr">
        <is>
          <t>release mensual candidata</t>
        </is>
      </c>
      <c r="G108" s="34" t="inlineStr">
        <is>
          <t>Todos los RNF priorizados verificados y aprobados por el PO antes de publicar (RF-24)</t>
        </is>
      </c>
      <c r="H108" s="34" t="inlineStr">
        <is>
          <t>Pendiente de ejecución</t>
        </is>
      </c>
      <c r="I108" s="33" t="inlineStr">
        <is>
          <t>PENDIENTE</t>
        </is>
      </c>
      <c r="J108" s="35" t="n"/>
      <c r="K108" s="34" t="inlineStr">
        <is>
          <t>Ejecutar en el Sprint 1-6 al implementar el módulo en la plataforma.</t>
        </is>
      </c>
      <c r="L108" s="34" t="inlineStr">
        <is>
          <t>Plataforma (Django + PostgreSQL/PostGIS + AWS)</t>
        </is>
      </c>
      <c r="M108" s="34" t="inlineStr">
        <is>
          <t>RF-24; RN-15; LIT-87</t>
        </is>
      </c>
      <c r="N108" s="33" t="inlineStr">
        <is>
          <t>1-6</t>
        </is>
      </c>
    </row>
  </sheetData>
  <autoFilter ref="A6:N108"/>
  <dataValidations count="3">
    <dataValidation sqref="I7:I108" showDropDown="0" showInputMessage="0" showErrorMessage="0" allowBlank="0" type="list" errorStyle="stop" operator="between">
      <formula1>"SI,NO,PENDIENTE"</formula1>
      <formula2>0</formula2>
    </dataValidation>
    <dataValidation sqref="C7:C108" showDropDown="0" showInputMessage="0" showErrorMessage="0" allowBlank="0" type="list" errorStyle="stop" operator="between">
      <formula1>"Nicolas Diaz,Jenifer Urbano,Juan Camilo Lopez"</formula1>
      <formula2>0</formula2>
    </dataValidation>
    <dataValidation sqref="B7:B108" showDropDown="0" showInputMessage="0" showErrorMessage="0" allowBlank="0" type="list" errorStyle="stop" operator="between">
      <formula1>"unitario,de integración,del sistema,de aceptación"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24" min="1" max="1"/>
    <col width="10" customWidth="1" style="24" min="2" max="2"/>
    <col width="12" customWidth="1" style="24" min="3" max="6"/>
    <col width="16" customWidth="1" style="24" min="7" max="7"/>
  </cols>
  <sheetData>
    <row r="1" ht="17.35" customHeight="1" s="26">
      <c r="A1" s="36" t="inlineStr">
        <is>
          <t>Resumen del plan de pruebas</t>
        </is>
      </c>
      <c r="B1" s="25" t="n"/>
      <c r="C1" s="25" t="n"/>
      <c r="D1" s="25" t="n"/>
      <c r="E1" s="25" t="n"/>
      <c r="F1" s="25" t="n"/>
      <c r="G1" s="25" t="n"/>
    </row>
    <row r="2" ht="15" customHeight="1" s="26">
      <c r="A2" s="29" t="inlineStr">
        <is>
          <t>Todas las cifras son fórmulas sobre la hoja «Plan de pruebas».</t>
        </is>
      </c>
      <c r="B2" s="25" t="n"/>
      <c r="C2" s="25" t="n"/>
      <c r="D2" s="25" t="n"/>
      <c r="E2" s="25" t="n"/>
      <c r="F2" s="25" t="n"/>
      <c r="G2" s="25" t="n"/>
    </row>
    <row r="3">
      <c r="A3" s="25" t="n"/>
      <c r="B3" s="25" t="n"/>
      <c r="C3" s="25" t="n"/>
      <c r="D3" s="25" t="n"/>
      <c r="E3" s="25" t="n"/>
      <c r="F3" s="25" t="n"/>
      <c r="G3" s="25" t="n"/>
    </row>
    <row r="4" ht="15" customHeight="1" s="26">
      <c r="A4" s="37" t="inlineStr">
        <is>
          <t>Por módulo</t>
        </is>
      </c>
      <c r="B4" s="25" t="n"/>
      <c r="C4" s="25" t="n"/>
      <c r="D4" s="25" t="n"/>
      <c r="E4" s="25" t="n"/>
      <c r="F4" s="25" t="n"/>
      <c r="G4" s="25" t="n"/>
    </row>
    <row r="5" ht="23.85" customHeight="1" s="26">
      <c r="A5" s="44" t="inlineStr">
        <is>
          <t>Módulo</t>
        </is>
      </c>
      <c r="B5" s="44" t="inlineStr">
        <is>
          <t>Casos</t>
        </is>
      </c>
      <c r="C5" s="44" t="inlineStr">
        <is>
          <t>Ejecutados</t>
        </is>
      </c>
      <c r="D5" s="44" t="inlineStr">
        <is>
          <t>Pasan (SI)</t>
        </is>
      </c>
      <c r="E5" s="44" t="inlineStr">
        <is>
          <t>Fallan (NO)</t>
        </is>
      </c>
      <c r="F5" s="44" t="inlineStr">
        <is>
          <t>Pendientes</t>
        </is>
      </c>
      <c r="G5" s="44" t="inlineStr">
        <is>
          <t>% que pasa de los ejecutados</t>
        </is>
      </c>
    </row>
    <row r="6" ht="15" customHeight="1" s="26">
      <c r="A6" s="29" t="inlineStr">
        <is>
          <t>QA · Usuarios y seguridad</t>
        </is>
      </c>
      <c r="B6" s="38">
        <f>COUNTIFS('Plan de pruebas'!$A$7:$A$108,"QA-*")</f>
        <v/>
      </c>
      <c r="C6" s="38">
        <f>D6+E6</f>
        <v/>
      </c>
      <c r="D6" s="38">
        <f>COUNTIFS('Plan de pruebas'!$A$7:$A$108,"QA-*",'Plan de pruebas'!$I$7:$I$108,"SI")</f>
        <v/>
      </c>
      <c r="E6" s="38">
        <f>COUNTIFS('Plan de pruebas'!$A$7:$A$108,"QA-*",'Plan de pruebas'!$I$7:$I$108,"NO")</f>
        <v/>
      </c>
      <c r="F6" s="38">
        <f>COUNTIFS('Plan de pruebas'!$A$7:$A$108,"QA-*",'Plan de pruebas'!$I$7:$I$108,"PENDIENTE")</f>
        <v/>
      </c>
      <c r="G6" s="39">
        <f>IF(C6=0,"-",D6/C6)</f>
        <v/>
      </c>
    </row>
    <row r="7" ht="15" customHeight="1" s="26">
      <c r="A7" s="29" t="inlineStr">
        <is>
          <t>FN · Fincas y trazabilidad EUDR</t>
        </is>
      </c>
      <c r="B7" s="38">
        <f>COUNTIFS('Plan de pruebas'!$A$7:$A$108,"FN-*")</f>
        <v/>
      </c>
      <c r="C7" s="38">
        <f>D7+E7</f>
        <v/>
      </c>
      <c r="D7" s="38">
        <f>COUNTIFS('Plan de pruebas'!$A$7:$A$108,"FN-*",'Plan de pruebas'!$I$7:$I$108,"SI")</f>
        <v/>
      </c>
      <c r="E7" s="38">
        <f>COUNTIFS('Plan de pruebas'!$A$7:$A$108,"FN-*",'Plan de pruebas'!$I$7:$I$108,"NO")</f>
        <v/>
      </c>
      <c r="F7" s="38">
        <f>COUNTIFS('Plan de pruebas'!$A$7:$A$108,"FN-*",'Plan de pruebas'!$I$7:$I$108,"PENDIENTE")</f>
        <v/>
      </c>
      <c r="G7" s="39">
        <f>IF(C7=0,"-",D7/C7)</f>
        <v/>
      </c>
    </row>
    <row r="8" ht="15" customHeight="1" s="26">
      <c r="A8" s="29" t="inlineStr">
        <is>
          <t>MK · Marketplace</t>
        </is>
      </c>
      <c r="B8" s="38">
        <f>COUNTIFS('Plan de pruebas'!$A$7:$A$108,"MK-*")</f>
        <v/>
      </c>
      <c r="C8" s="38">
        <f>D8+E8</f>
        <v/>
      </c>
      <c r="D8" s="38">
        <f>COUNTIFS('Plan de pruebas'!$A$7:$A$108,"MK-*",'Plan de pruebas'!$I$7:$I$108,"SI")</f>
        <v/>
      </c>
      <c r="E8" s="38">
        <f>COUNTIFS('Plan de pruebas'!$A$7:$A$108,"MK-*",'Plan de pruebas'!$I$7:$I$108,"NO")</f>
        <v/>
      </c>
      <c r="F8" s="38">
        <f>COUNTIFS('Plan de pruebas'!$A$7:$A$108,"MK-*",'Plan de pruebas'!$I$7:$I$108,"PENDIENTE")</f>
        <v/>
      </c>
      <c r="G8" s="39">
        <f>IF(C8=0,"-",D8/C8)</f>
        <v/>
      </c>
    </row>
    <row r="9" ht="15" customHeight="1" s="26">
      <c r="A9" s="29" t="inlineStr">
        <is>
          <t>TX · Transacciones y escrow</t>
        </is>
      </c>
      <c r="B9" s="38">
        <f>COUNTIFS('Plan de pruebas'!$A$7:$A$108,"TX-*")</f>
        <v/>
      </c>
      <c r="C9" s="38">
        <f>D9+E9</f>
        <v/>
      </c>
      <c r="D9" s="38">
        <f>COUNTIFS('Plan de pruebas'!$A$7:$A$108,"TX-*",'Plan de pruebas'!$I$7:$I$108,"SI")</f>
        <v/>
      </c>
      <c r="E9" s="38">
        <f>COUNTIFS('Plan de pruebas'!$A$7:$A$108,"TX-*",'Plan de pruebas'!$I$7:$I$108,"NO")</f>
        <v/>
      </c>
      <c r="F9" s="38">
        <f>COUNTIFS('Plan de pruebas'!$A$7:$A$108,"TX-*",'Plan de pruebas'!$I$7:$I$108,"PENDIENTE")</f>
        <v/>
      </c>
      <c r="G9" s="39">
        <f>IF(C9=0,"-",D9/C9)</f>
        <v/>
      </c>
    </row>
    <row r="10" ht="15" customHeight="1" s="26">
      <c r="A10" s="29" t="inlineStr">
        <is>
          <t>CL · Calidad</t>
        </is>
      </c>
      <c r="B10" s="38">
        <f>COUNTIFS('Plan de pruebas'!$A$7:$A$108,"CL-*")</f>
        <v/>
      </c>
      <c r="C10" s="38">
        <f>D10+E10</f>
        <v/>
      </c>
      <c r="D10" s="38">
        <f>COUNTIFS('Plan de pruebas'!$A$7:$A$108,"CL-*",'Plan de pruebas'!$I$7:$I$108,"SI")</f>
        <v/>
      </c>
      <c r="E10" s="38">
        <f>COUNTIFS('Plan de pruebas'!$A$7:$A$108,"CL-*",'Plan de pruebas'!$I$7:$I$108,"NO")</f>
        <v/>
      </c>
      <c r="F10" s="38">
        <f>COUNTIFS('Plan de pruebas'!$A$7:$A$108,"CL-*",'Plan de pruebas'!$I$7:$I$108,"PENDIENTE")</f>
        <v/>
      </c>
      <c r="G10" s="39">
        <f>IF(C10=0,"-",D10/C10)</f>
        <v/>
      </c>
    </row>
    <row r="11" ht="15" customHeight="1" s="26">
      <c r="A11" s="29" t="inlineStr">
        <is>
          <t>LG · Logística (tracker)</t>
        </is>
      </c>
      <c r="B11" s="38">
        <f>COUNTIFS('Plan de pruebas'!$A$7:$A$108,"LG-*")</f>
        <v/>
      </c>
      <c r="C11" s="38">
        <f>D11+E11</f>
        <v/>
      </c>
      <c r="D11" s="38">
        <f>COUNTIFS('Plan de pruebas'!$A$7:$A$108,"LG-*",'Plan de pruebas'!$I$7:$I$108,"SI")</f>
        <v/>
      </c>
      <c r="E11" s="38">
        <f>COUNTIFS('Plan de pruebas'!$A$7:$A$108,"LG-*",'Plan de pruebas'!$I$7:$I$108,"NO")</f>
        <v/>
      </c>
      <c r="F11" s="38">
        <f>COUNTIFS('Plan de pruebas'!$A$7:$A$108,"LG-*",'Plan de pruebas'!$I$7:$I$108,"PENDIENTE")</f>
        <v/>
      </c>
      <c r="G11" s="39">
        <f>IF(C11=0,"-",D11/C11)</f>
        <v/>
      </c>
    </row>
    <row r="12" ht="15" customHeight="1" s="26">
      <c r="A12" s="29" t="inlineStr">
        <is>
          <t>AD · Administración</t>
        </is>
      </c>
      <c r="B12" s="38">
        <f>COUNTIFS('Plan de pruebas'!$A$7:$A$108,"AD-*")</f>
        <v/>
      </c>
      <c r="C12" s="38">
        <f>D12+E12</f>
        <v/>
      </c>
      <c r="D12" s="38">
        <f>COUNTIFS('Plan de pruebas'!$A$7:$A$108,"AD-*",'Plan de pruebas'!$I$7:$I$108,"SI")</f>
        <v/>
      </c>
      <c r="E12" s="38">
        <f>COUNTIFS('Plan de pruebas'!$A$7:$A$108,"AD-*",'Plan de pruebas'!$I$7:$I$108,"NO")</f>
        <v/>
      </c>
      <c r="F12" s="38">
        <f>COUNTIFS('Plan de pruebas'!$A$7:$A$108,"AD-*",'Plan de pruebas'!$I$7:$I$108,"PENDIENTE")</f>
        <v/>
      </c>
      <c r="G12" s="39">
        <f>IF(C12=0,"-",D12/C12)</f>
        <v/>
      </c>
    </row>
    <row r="13" ht="15" customHeight="1" s="26">
      <c r="A13" s="29" t="inlineStr">
        <is>
          <t>BD · Base de datos</t>
        </is>
      </c>
      <c r="B13" s="38">
        <f>COUNTIFS('Plan de pruebas'!$A$7:$A$108,"BD-*")</f>
        <v/>
      </c>
      <c r="C13" s="38">
        <f>D13+E13</f>
        <v/>
      </c>
      <c r="D13" s="38">
        <f>COUNTIFS('Plan de pruebas'!$A$7:$A$108,"BD-*",'Plan de pruebas'!$I$7:$I$108,"SI")</f>
        <v/>
      </c>
      <c r="E13" s="38">
        <f>COUNTIFS('Plan de pruebas'!$A$7:$A$108,"BD-*",'Plan de pruebas'!$I$7:$I$108,"NO")</f>
        <v/>
      </c>
      <c r="F13" s="38">
        <f>COUNTIFS('Plan de pruebas'!$A$7:$A$108,"BD-*",'Plan de pruebas'!$I$7:$I$108,"PENDIENTE")</f>
        <v/>
      </c>
      <c r="G13" s="39">
        <f>IF(C13=0,"-",D13/C13)</f>
        <v/>
      </c>
    </row>
    <row r="14" ht="15" customHeight="1" s="26">
      <c r="A14" s="29" t="inlineStr">
        <is>
          <t>DP · Despliegue y compilación</t>
        </is>
      </c>
      <c r="B14" s="38">
        <f>COUNTIFS('Plan de pruebas'!$A$7:$A$108,"DP-*")</f>
        <v/>
      </c>
      <c r="C14" s="38">
        <f>D14+E14</f>
        <v/>
      </c>
      <c r="D14" s="38">
        <f>COUNTIFS('Plan de pruebas'!$A$7:$A$108,"DP-*",'Plan de pruebas'!$I$7:$I$108,"SI")</f>
        <v/>
      </c>
      <c r="E14" s="38">
        <f>COUNTIFS('Plan de pruebas'!$A$7:$A$108,"DP-*",'Plan de pruebas'!$I$7:$I$108,"NO")</f>
        <v/>
      </c>
      <c r="F14" s="38">
        <f>COUNTIFS('Plan de pruebas'!$A$7:$A$108,"DP-*",'Plan de pruebas'!$I$7:$I$108,"PENDIENTE")</f>
        <v/>
      </c>
      <c r="G14" s="39">
        <f>IF(C14=0,"-",D14/C14)</f>
        <v/>
      </c>
    </row>
    <row r="15" ht="15" customHeight="1" s="26">
      <c r="A15" s="29" t="inlineStr">
        <is>
          <t>RNF · Requisitos no funcionales</t>
        </is>
      </c>
      <c r="B15" s="38">
        <f>COUNTIFS('Plan de pruebas'!$A$7:$A$108,"RNF-*")</f>
        <v/>
      </c>
      <c r="C15" s="38">
        <f>D15+E15</f>
        <v/>
      </c>
      <c r="D15" s="38">
        <f>COUNTIFS('Plan de pruebas'!$A$7:$A$108,"RNF-*",'Plan de pruebas'!$I$7:$I$108,"SI")</f>
        <v/>
      </c>
      <c r="E15" s="38">
        <f>COUNTIFS('Plan de pruebas'!$A$7:$A$108,"RNF-*",'Plan de pruebas'!$I$7:$I$108,"NO")</f>
        <v/>
      </c>
      <c r="F15" s="38">
        <f>COUNTIFS('Plan de pruebas'!$A$7:$A$108,"RNF-*",'Plan de pruebas'!$I$7:$I$108,"PENDIENTE")</f>
        <v/>
      </c>
      <c r="G15" s="39">
        <f>IF(C15=0,"-",D15/C15)</f>
        <v/>
      </c>
    </row>
    <row r="16" ht="15" customHeight="1" s="26">
      <c r="A16" s="29" t="inlineStr">
        <is>
          <t>AC · Aceptación (flujo completo)</t>
        </is>
      </c>
      <c r="B16" s="38">
        <f>COUNTIFS('Plan de pruebas'!$A$7:$A$108,"AC-*")</f>
        <v/>
      </c>
      <c r="C16" s="38">
        <f>D16+E16</f>
        <v/>
      </c>
      <c r="D16" s="38">
        <f>COUNTIFS('Plan de pruebas'!$A$7:$A$108,"AC-*",'Plan de pruebas'!$I$7:$I$108,"SI")</f>
        <v/>
      </c>
      <c r="E16" s="38">
        <f>COUNTIFS('Plan de pruebas'!$A$7:$A$108,"AC-*",'Plan de pruebas'!$I$7:$I$108,"NO")</f>
        <v/>
      </c>
      <c r="F16" s="38">
        <f>COUNTIFS('Plan de pruebas'!$A$7:$A$108,"AC-*",'Plan de pruebas'!$I$7:$I$108,"PENDIENTE")</f>
        <v/>
      </c>
      <c r="G16" s="39">
        <f>IF(C16=0,"-",D16/C16)</f>
        <v/>
      </c>
    </row>
    <row r="17" ht="15" customHeight="1" s="26">
      <c r="A17" s="40" t="inlineStr">
        <is>
          <t>Total</t>
        </is>
      </c>
      <c r="B17" s="41">
        <f>SUM(B6:B16)</f>
        <v/>
      </c>
      <c r="C17" s="41">
        <f>SUM(C6:C16)</f>
        <v/>
      </c>
      <c r="D17" s="41">
        <f>SUM(D6:D16)</f>
        <v/>
      </c>
      <c r="E17" s="41">
        <f>SUM(E6:E16)</f>
        <v/>
      </c>
      <c r="F17" s="41">
        <f>SUM(F6:F16)</f>
        <v/>
      </c>
      <c r="G17" s="42">
        <f>IF(C17=0,"-",D17/C17)</f>
        <v/>
      </c>
    </row>
    <row r="18">
      <c r="A18" s="25" t="n"/>
      <c r="B18" s="25" t="n"/>
      <c r="C18" s="25" t="n"/>
      <c r="D18" s="25" t="n"/>
      <c r="E18" s="25" t="n"/>
      <c r="F18" s="25" t="n"/>
      <c r="G18" s="25" t="n"/>
    </row>
    <row r="19" ht="15" customHeight="1" s="26">
      <c r="A19" s="37" t="inlineStr">
        <is>
          <t>Por tipo de prueba</t>
        </is>
      </c>
      <c r="B19" s="25" t="n"/>
      <c r="C19" s="25" t="n"/>
      <c r="D19" s="25" t="n"/>
      <c r="E19" s="25" t="n"/>
      <c r="F19" s="25" t="n"/>
      <c r="G19" s="25" t="n"/>
    </row>
    <row r="20" ht="23.85" customHeight="1" s="26">
      <c r="A20" s="44" t="inlineStr">
        <is>
          <t>Tipo</t>
        </is>
      </c>
      <c r="B20" s="44" t="inlineStr">
        <is>
          <t>Casos</t>
        </is>
      </c>
      <c r="C20" s="44" t="inlineStr">
        <is>
          <t>Ejecutados</t>
        </is>
      </c>
      <c r="D20" s="44" t="inlineStr">
        <is>
          <t>Pasan (SI)</t>
        </is>
      </c>
      <c r="E20" s="44" t="inlineStr">
        <is>
          <t>Fallan (NO)</t>
        </is>
      </c>
      <c r="F20" s="44" t="inlineStr">
        <is>
          <t>Pendientes</t>
        </is>
      </c>
      <c r="G20" s="44" t="inlineStr">
        <is>
          <t>% que pasa de los ejecutados</t>
        </is>
      </c>
    </row>
    <row r="21" ht="15" customHeight="1" s="26">
      <c r="A21" s="29" t="inlineStr">
        <is>
          <t>unitario</t>
        </is>
      </c>
      <c r="B21" s="38">
        <f>COUNTIFS('Plan de pruebas'!$B$7:$B$108,"unitario")</f>
        <v/>
      </c>
      <c r="C21" s="38">
        <f>D21+E21</f>
        <v/>
      </c>
      <c r="D21" s="38">
        <f>COUNTIFS('Plan de pruebas'!$B$7:$B$108,"unitario",'Plan de pruebas'!$I$7:$I$108,"SI")</f>
        <v/>
      </c>
      <c r="E21" s="38">
        <f>COUNTIFS('Plan de pruebas'!$B$7:$B$108,"unitario",'Plan de pruebas'!$I$7:$I$108,"NO")</f>
        <v/>
      </c>
      <c r="F21" s="38">
        <f>COUNTIFS('Plan de pruebas'!$B$7:$B$108,"unitario",'Plan de pruebas'!$I$7:$I$108,"PENDIENTE")</f>
        <v/>
      </c>
      <c r="G21" s="39">
        <f>IF(C21=0,"-",D21/C21)</f>
        <v/>
      </c>
    </row>
    <row r="22" ht="15" customHeight="1" s="26">
      <c r="A22" s="29" t="inlineStr">
        <is>
          <t>de integración</t>
        </is>
      </c>
      <c r="B22" s="38">
        <f>COUNTIFS('Plan de pruebas'!$B$7:$B$108,"de integración")</f>
        <v/>
      </c>
      <c r="C22" s="38">
        <f>D22+E22</f>
        <v/>
      </c>
      <c r="D22" s="38">
        <f>COUNTIFS('Plan de pruebas'!$B$7:$B$108,"de integración",'Plan de pruebas'!$I$7:$I$108,"SI")</f>
        <v/>
      </c>
      <c r="E22" s="38">
        <f>COUNTIFS('Plan de pruebas'!$B$7:$B$108,"de integración",'Plan de pruebas'!$I$7:$I$108,"NO")</f>
        <v/>
      </c>
      <c r="F22" s="38">
        <f>COUNTIFS('Plan de pruebas'!$B$7:$B$108,"de integración",'Plan de pruebas'!$I$7:$I$108,"PENDIENTE")</f>
        <v/>
      </c>
      <c r="G22" s="39">
        <f>IF(C22=0,"-",D22/C22)</f>
        <v/>
      </c>
    </row>
    <row r="23" ht="15" customHeight="1" s="26">
      <c r="A23" s="29" t="inlineStr">
        <is>
          <t>del sistema</t>
        </is>
      </c>
      <c r="B23" s="38">
        <f>COUNTIFS('Plan de pruebas'!$B$7:$B$108,"del sistema")</f>
        <v/>
      </c>
      <c r="C23" s="38">
        <f>D23+E23</f>
        <v/>
      </c>
      <c r="D23" s="38">
        <f>COUNTIFS('Plan de pruebas'!$B$7:$B$108,"del sistema",'Plan de pruebas'!$I$7:$I$108,"SI")</f>
        <v/>
      </c>
      <c r="E23" s="38">
        <f>COUNTIFS('Plan de pruebas'!$B$7:$B$108,"del sistema",'Plan de pruebas'!$I$7:$I$108,"NO")</f>
        <v/>
      </c>
      <c r="F23" s="38">
        <f>COUNTIFS('Plan de pruebas'!$B$7:$B$108,"del sistema",'Plan de pruebas'!$I$7:$I$108,"PENDIENTE")</f>
        <v/>
      </c>
      <c r="G23" s="39">
        <f>IF(C23=0,"-",D23/C23)</f>
        <v/>
      </c>
    </row>
    <row r="24" ht="15" customHeight="1" s="26">
      <c r="A24" s="29" t="inlineStr">
        <is>
          <t>de aceptación</t>
        </is>
      </c>
      <c r="B24" s="38">
        <f>COUNTIFS('Plan de pruebas'!$B$7:$B$108,"de aceptación")</f>
        <v/>
      </c>
      <c r="C24" s="38">
        <f>D24+E24</f>
        <v/>
      </c>
      <c r="D24" s="38">
        <f>COUNTIFS('Plan de pruebas'!$B$7:$B$108,"de aceptación",'Plan de pruebas'!$I$7:$I$108,"SI")</f>
        <v/>
      </c>
      <c r="E24" s="38">
        <f>COUNTIFS('Plan de pruebas'!$B$7:$B$108,"de aceptación",'Plan de pruebas'!$I$7:$I$108,"NO")</f>
        <v/>
      </c>
      <c r="F24" s="38">
        <f>COUNTIFS('Plan de pruebas'!$B$7:$B$108,"de aceptación",'Plan de pruebas'!$I$7:$I$108,"PENDIENTE")</f>
        <v/>
      </c>
      <c r="G24" s="39">
        <f>IF(C24=0,"-",D24/C24)</f>
        <v/>
      </c>
    </row>
    <row r="25" ht="15" customHeight="1" s="26">
      <c r="A25" s="40" t="inlineStr">
        <is>
          <t>Total</t>
        </is>
      </c>
      <c r="B25" s="41">
        <f>SUM(B21:B24)</f>
        <v/>
      </c>
      <c r="C25" s="41">
        <f>SUM(C21:C24)</f>
        <v/>
      </c>
      <c r="D25" s="41">
        <f>SUM(D21:D24)</f>
        <v/>
      </c>
      <c r="E25" s="41">
        <f>SUM(E21:E24)</f>
        <v/>
      </c>
      <c r="F25" s="41">
        <f>SUM(F21:F24)</f>
        <v/>
      </c>
      <c r="G25" s="42">
        <f>IF(C25=0,"-",D25/C25)</f>
        <v/>
      </c>
    </row>
    <row r="26">
      <c r="A26" s="25" t="n"/>
      <c r="B26" s="25" t="n"/>
      <c r="C26" s="25" t="n"/>
      <c r="D26" s="25" t="n"/>
      <c r="E26" s="25" t="n"/>
      <c r="F26" s="25" t="n"/>
      <c r="G26" s="25" t="n"/>
    </row>
    <row r="27" ht="15" customHeight="1" s="26">
      <c r="A27" s="37" t="inlineStr">
        <is>
          <t>Por responsable</t>
        </is>
      </c>
      <c r="B27" s="25" t="n"/>
      <c r="C27" s="25" t="n"/>
      <c r="D27" s="25" t="n"/>
      <c r="E27" s="25" t="n"/>
      <c r="F27" s="25" t="n"/>
      <c r="G27" s="25" t="n"/>
    </row>
    <row r="28" ht="23.85" customHeight="1" s="26">
      <c r="A28" s="44" t="inlineStr">
        <is>
          <t>Responsable</t>
        </is>
      </c>
      <c r="B28" s="44" t="inlineStr">
        <is>
          <t>Casos</t>
        </is>
      </c>
      <c r="C28" s="44" t="inlineStr">
        <is>
          <t>Ejecutados</t>
        </is>
      </c>
      <c r="D28" s="44" t="inlineStr">
        <is>
          <t>Pasan (SI)</t>
        </is>
      </c>
      <c r="E28" s="44" t="inlineStr">
        <is>
          <t>Fallan (NO)</t>
        </is>
      </c>
      <c r="F28" s="44" t="inlineStr">
        <is>
          <t>Pendientes</t>
        </is>
      </c>
      <c r="G28" s="44" t="inlineStr">
        <is>
          <t>% que pasa de los ejecutados</t>
        </is>
      </c>
    </row>
    <row r="29" ht="15" customHeight="1" s="26">
      <c r="A29" s="29" t="inlineStr">
        <is>
          <t>Nicolas Diaz</t>
        </is>
      </c>
      <c r="B29" s="38">
        <f>COUNTIFS('Plan de pruebas'!$C$7:$C$108,"Nicolas Diaz")</f>
        <v/>
      </c>
      <c r="C29" s="38">
        <f>D29+E29</f>
        <v/>
      </c>
      <c r="D29" s="38">
        <f>COUNTIFS('Plan de pruebas'!$C$7:$C$108,"Nicolas Diaz",'Plan de pruebas'!$I$7:$I$108,"SI")</f>
        <v/>
      </c>
      <c r="E29" s="38">
        <f>COUNTIFS('Plan de pruebas'!$C$7:$C$108,"Nicolas Diaz",'Plan de pruebas'!$I$7:$I$108,"NO")</f>
        <v/>
      </c>
      <c r="F29" s="38">
        <f>COUNTIFS('Plan de pruebas'!$C$7:$C$108,"Nicolas Diaz",'Plan de pruebas'!$I$7:$I$108,"PENDIENTE")</f>
        <v/>
      </c>
      <c r="G29" s="39">
        <f>IF(C29=0,"-",D29/C29)</f>
        <v/>
      </c>
    </row>
    <row r="30" ht="15" customHeight="1" s="26">
      <c r="A30" s="29" t="inlineStr">
        <is>
          <t>Jenifer Urbano</t>
        </is>
      </c>
      <c r="B30" s="38">
        <f>COUNTIFS('Plan de pruebas'!$C$7:$C$108,"Jenifer Urbano")</f>
        <v/>
      </c>
      <c r="C30" s="38">
        <f>D30+E30</f>
        <v/>
      </c>
      <c r="D30" s="38">
        <f>COUNTIFS('Plan de pruebas'!$C$7:$C$108,"Jenifer Urbano",'Plan de pruebas'!$I$7:$I$108,"SI")</f>
        <v/>
      </c>
      <c r="E30" s="38">
        <f>COUNTIFS('Plan de pruebas'!$C$7:$C$108,"Jenifer Urbano",'Plan de pruebas'!$I$7:$I$108,"NO")</f>
        <v/>
      </c>
      <c r="F30" s="38">
        <f>COUNTIFS('Plan de pruebas'!$C$7:$C$108,"Jenifer Urbano",'Plan de pruebas'!$I$7:$I$108,"PENDIENTE")</f>
        <v/>
      </c>
      <c r="G30" s="39">
        <f>IF(C30=0,"-",D30/C30)</f>
        <v/>
      </c>
    </row>
    <row r="31" ht="15" customHeight="1" s="26">
      <c r="A31" s="29" t="inlineStr">
        <is>
          <t>Juan Camilo Lopez</t>
        </is>
      </c>
      <c r="B31" s="38">
        <f>COUNTIFS('Plan de pruebas'!$C$7:$C$108,"Juan Camilo Lopez")</f>
        <v/>
      </c>
      <c r="C31" s="38">
        <f>D31+E31</f>
        <v/>
      </c>
      <c r="D31" s="38">
        <f>COUNTIFS('Plan de pruebas'!$C$7:$C$108,"Juan Camilo Lopez",'Plan de pruebas'!$I$7:$I$108,"SI")</f>
        <v/>
      </c>
      <c r="E31" s="38">
        <f>COUNTIFS('Plan de pruebas'!$C$7:$C$108,"Juan Camilo Lopez",'Plan de pruebas'!$I$7:$I$108,"NO")</f>
        <v/>
      </c>
      <c r="F31" s="38">
        <f>COUNTIFS('Plan de pruebas'!$C$7:$C$108,"Juan Camilo Lopez",'Plan de pruebas'!$I$7:$I$108,"PENDIENTE")</f>
        <v/>
      </c>
      <c r="G31" s="39">
        <f>IF(C31=0,"-",D31/C31)</f>
        <v/>
      </c>
    </row>
    <row r="32" ht="15" customHeight="1" s="26">
      <c r="A32" s="40" t="inlineStr">
        <is>
          <t>Total</t>
        </is>
      </c>
      <c r="B32" s="41">
        <f>SUM(B29:B31)</f>
        <v/>
      </c>
      <c r="C32" s="41">
        <f>SUM(C29:C31)</f>
        <v/>
      </c>
      <c r="D32" s="41">
        <f>SUM(D29:D31)</f>
        <v/>
      </c>
      <c r="E32" s="41">
        <f>SUM(E29:E31)</f>
        <v/>
      </c>
      <c r="F32" s="41">
        <f>SUM(F29:F31)</f>
        <v/>
      </c>
      <c r="G32" s="42">
        <f>IF(C32=0,"-",D32/C32)</f>
        <v/>
      </c>
    </row>
    <row r="33">
      <c r="A33" s="25" t="n"/>
      <c r="B33" s="25" t="n"/>
      <c r="C33" s="25" t="n"/>
      <c r="D33" s="25" t="n"/>
      <c r="E33" s="25" t="n"/>
      <c r="F33" s="25" t="n"/>
      <c r="G33" s="25" t="n"/>
    </row>
    <row r="34" ht="15" customHeight="1" s="26">
      <c r="A34" s="37" t="inlineStr">
        <is>
          <t>Por ámbito</t>
        </is>
      </c>
      <c r="B34" s="25" t="n"/>
      <c r="C34" s="25" t="n"/>
      <c r="D34" s="25" t="n"/>
      <c r="E34" s="25" t="n"/>
      <c r="F34" s="25" t="n"/>
      <c r="G34" s="25" t="n"/>
    </row>
    <row r="35" ht="23.85" customHeight="1" s="26">
      <c r="A35" s="44" t="inlineStr">
        <is>
          <t>Ámbito</t>
        </is>
      </c>
      <c r="B35" s="44" t="inlineStr">
        <is>
          <t>Casos</t>
        </is>
      </c>
      <c r="C35" s="44" t="inlineStr">
        <is>
          <t>Ejecutados</t>
        </is>
      </c>
      <c r="D35" s="44" t="inlineStr">
        <is>
          <t>Pasan (SI)</t>
        </is>
      </c>
      <c r="E35" s="44" t="inlineStr">
        <is>
          <t>Fallan (NO)</t>
        </is>
      </c>
      <c r="F35" s="44" t="inlineStr">
        <is>
          <t>Pendientes</t>
        </is>
      </c>
      <c r="G35" s="44" t="inlineStr">
        <is>
          <t>% que pasa de los ejecutados</t>
        </is>
      </c>
    </row>
    <row r="36" ht="15" customHeight="1" s="26">
      <c r="A36" s="29" t="inlineStr">
        <is>
          <t>Prototipo React (demo estática)</t>
        </is>
      </c>
      <c r="B36" s="38">
        <f>COUNTIFS('Plan de pruebas'!$L$7:$L$108,"Prototipo React (demo estática)")</f>
        <v/>
      </c>
      <c r="C36" s="38">
        <f>D36+E36</f>
        <v/>
      </c>
      <c r="D36" s="38">
        <f>COUNTIFS('Plan de pruebas'!$L$7:$L$108,"Prototipo React (demo estática)",'Plan de pruebas'!$I$7:$I$108,"SI")</f>
        <v/>
      </c>
      <c r="E36" s="38">
        <f>COUNTIFS('Plan de pruebas'!$L$7:$L$108,"Prototipo React (demo estática)",'Plan de pruebas'!$I$7:$I$108,"NO")</f>
        <v/>
      </c>
      <c r="F36" s="38">
        <f>COUNTIFS('Plan de pruebas'!$L$7:$L$108,"Prototipo React (demo estática)",'Plan de pruebas'!$I$7:$I$108,"PENDIENTE")</f>
        <v/>
      </c>
      <c r="G36" s="39">
        <f>IF(C36=0,"-",D36/C36)</f>
        <v/>
      </c>
    </row>
    <row r="37" ht="15" customHeight="1" s="26">
      <c r="A37" s="29" t="inlineStr">
        <is>
          <t>Plataforma (Django + PostgreSQL/PostGIS + AWS)</t>
        </is>
      </c>
      <c r="B37" s="38">
        <f>COUNTIFS('Plan de pruebas'!$L$7:$L$108,"Plataforma (Django + PostgreSQL/PostGIS + AWS)")</f>
        <v/>
      </c>
      <c r="C37" s="38">
        <f>D37+E37</f>
        <v/>
      </c>
      <c r="D37" s="38">
        <f>COUNTIFS('Plan de pruebas'!$L$7:$L$108,"Plataforma (Django + PostgreSQL/PostGIS + AWS)",'Plan de pruebas'!$I$7:$I$108,"SI")</f>
        <v/>
      </c>
      <c r="E37" s="38">
        <f>COUNTIFS('Plan de pruebas'!$L$7:$L$108,"Plataforma (Django + PostgreSQL/PostGIS + AWS)",'Plan de pruebas'!$I$7:$I$108,"NO")</f>
        <v/>
      </c>
      <c r="F37" s="38">
        <f>COUNTIFS('Plan de pruebas'!$L$7:$L$108,"Plataforma (Django + PostgreSQL/PostGIS + AWS)",'Plan de pruebas'!$I$7:$I$108,"PENDIENTE")</f>
        <v/>
      </c>
      <c r="G37" s="39">
        <f>IF(C37=0,"-",D37/C37)</f>
        <v/>
      </c>
    </row>
    <row r="38" ht="15" customHeight="1" s="26">
      <c r="A38" s="40" t="inlineStr">
        <is>
          <t>Total</t>
        </is>
      </c>
      <c r="B38" s="41">
        <f>SUM(B36:B37)</f>
        <v/>
      </c>
      <c r="C38" s="41">
        <f>SUM(C36:C37)</f>
        <v/>
      </c>
      <c r="D38" s="41">
        <f>SUM(D36:D37)</f>
        <v/>
      </c>
      <c r="E38" s="41">
        <f>SUM(E36:E37)</f>
        <v/>
      </c>
      <c r="F38" s="41">
        <f>SUM(F36:F37)</f>
        <v/>
      </c>
      <c r="G38" s="42">
        <f>IF(C38=0,"-",D38/C38)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4" min="1" max="1"/>
    <col width="58" customWidth="1" style="24" min="2" max="2"/>
    <col width="9" customWidth="1" style="24" min="3" max="3"/>
    <col width="11" customWidth="1" style="24" min="4" max="6"/>
    <col width="22" customWidth="1" style="24" min="7" max="7"/>
  </cols>
  <sheetData>
    <row r="1" ht="17.35" customHeight="1" s="26">
      <c r="A1" s="36" t="inlineStr">
        <is>
          <t>Matriz de trazabilidad: requisitos y reglas de negocio → casos de prueba</t>
        </is>
      </c>
      <c r="B1" s="25" t="n"/>
      <c r="C1" s="25" t="n"/>
      <c r="D1" s="25" t="n"/>
      <c r="E1" s="25" t="n"/>
      <c r="F1" s="25" t="n"/>
      <c r="G1" s="25" t="n"/>
    </row>
    <row r="2" ht="15" customHeight="1" s="26">
      <c r="A2" s="29" t="inlineStr">
        <is>
          <t>Fuente: wiki del proyecto (Requisitos). Cuenta los casos cuya columna M contiene el ID exacto.</t>
        </is>
      </c>
      <c r="B2" s="25" t="n"/>
      <c r="C2" s="25" t="n"/>
      <c r="D2" s="25" t="n"/>
      <c r="E2" s="25" t="n"/>
      <c r="F2" s="25" t="n"/>
      <c r="G2" s="25" t="n"/>
    </row>
    <row r="3">
      <c r="A3" s="25" t="n"/>
      <c r="B3" s="25" t="n"/>
      <c r="C3" s="25" t="n"/>
      <c r="D3" s="25" t="n"/>
      <c r="E3" s="25" t="n"/>
      <c r="F3" s="25" t="n"/>
      <c r="G3" s="25" t="n"/>
    </row>
    <row r="4" ht="15" customHeight="1" s="26">
      <c r="A4" s="44" t="inlineStr">
        <is>
          <t>ID</t>
        </is>
      </c>
      <c r="B4" s="44" t="inlineStr">
        <is>
          <t>Descripción</t>
        </is>
      </c>
      <c r="C4" s="44" t="inlineStr">
        <is>
          <t>Casos</t>
        </is>
      </c>
      <c r="D4" s="44" t="inlineStr">
        <is>
          <t>Pasan (SI)</t>
        </is>
      </c>
      <c r="E4" s="44" t="inlineStr">
        <is>
          <t>Fallan (NO)</t>
        </is>
      </c>
      <c r="F4" s="44" t="inlineStr">
        <is>
          <t>Pendientes</t>
        </is>
      </c>
      <c r="G4" s="44" t="inlineStr">
        <is>
          <t>Cobertura</t>
        </is>
      </c>
    </row>
    <row r="5" ht="15" customHeight="1" s="26">
      <c r="A5" s="32" t="inlineStr">
        <is>
          <t>RF-01</t>
        </is>
      </c>
      <c r="B5" s="34" t="inlineStr">
        <is>
          <t>Registro y autenticación de usuarios por rol</t>
        </is>
      </c>
      <c r="C5" s="38">
        <f>SUMPRODUCT(--ISNUMBER(SEARCH("; "&amp;$A5&amp;";","; "&amp;'Plan de pruebas'!$M$7:$M$108&amp;";")))</f>
        <v/>
      </c>
      <c r="D5" s="38">
        <f>SUMPRODUCT(--ISNUMBER(SEARCH("; "&amp;$A5&amp;";","; "&amp;'Plan de pruebas'!$M$7:$M$108&amp;";")),--('Plan de pruebas'!$I$7:$I$108="SI"))</f>
        <v/>
      </c>
      <c r="E5" s="38">
        <f>SUMPRODUCT(--ISNUMBER(SEARCH("; "&amp;$A5&amp;";","; "&amp;'Plan de pruebas'!$M$7:$M$108&amp;";")),--('Plan de pruebas'!$I$7:$I$108="NO"))</f>
        <v/>
      </c>
      <c r="F5" s="38">
        <f>SUMPRODUCT(--ISNUMBER(SEARCH("; "&amp;$A5&amp;";","; "&amp;'Plan de pruebas'!$M$7:$M$108&amp;";")),--('Plan de pruebas'!$I$7:$I$108="PENDIENTE"))</f>
        <v/>
      </c>
      <c r="G5" s="38">
        <f>IF(C5=0,"SIN CUBRIR",IF(E5&gt;0,"CON FALLAS",IF(D5&gt;0,"VERIFICADO (parcial)","PLANIFICADO")))</f>
        <v/>
      </c>
    </row>
    <row r="6" ht="15" customHeight="1" s="26">
      <c r="A6" s="32" t="inlineStr">
        <is>
          <t>RF-02</t>
        </is>
      </c>
      <c r="B6" s="34" t="inlineStr">
        <is>
          <t>Verificación de identidad (identificación y firma una sola vez)</t>
        </is>
      </c>
      <c r="C6" s="38">
        <f>SUMPRODUCT(--ISNUMBER(SEARCH("; "&amp;$A6&amp;";","; "&amp;'Plan de pruebas'!$M$7:$M$108&amp;";")))</f>
        <v/>
      </c>
      <c r="D6" s="38">
        <f>SUMPRODUCT(--ISNUMBER(SEARCH("; "&amp;$A6&amp;";","; "&amp;'Plan de pruebas'!$M$7:$M$108&amp;";")),--('Plan de pruebas'!$I$7:$I$108="SI"))</f>
        <v/>
      </c>
      <c r="E6" s="38">
        <f>SUMPRODUCT(--ISNUMBER(SEARCH("; "&amp;$A6&amp;";","; "&amp;'Plan de pruebas'!$M$7:$M$108&amp;";")),--('Plan de pruebas'!$I$7:$I$108="NO"))</f>
        <v/>
      </c>
      <c r="F6" s="38">
        <f>SUMPRODUCT(--ISNUMBER(SEARCH("; "&amp;$A6&amp;";","; "&amp;'Plan de pruebas'!$M$7:$M$108&amp;";")),--('Plan de pruebas'!$I$7:$I$108="PENDIENTE"))</f>
        <v/>
      </c>
      <c r="G6" s="38">
        <f>IF(C6=0,"SIN CUBRIR",IF(E6&gt;0,"CON FALLAS",IF(D6&gt;0,"VERIFICADO (parcial)","PLANIFICADO")))</f>
        <v/>
      </c>
    </row>
    <row r="7" ht="15" customHeight="1" s="26">
      <c r="A7" s="32" t="inlineStr">
        <is>
          <t>RF-03</t>
        </is>
      </c>
      <c r="B7" s="34" t="inlineStr">
        <is>
          <t>Ocultar información privada entre usuarios</t>
        </is>
      </c>
      <c r="C7" s="38">
        <f>SUMPRODUCT(--ISNUMBER(SEARCH("; "&amp;$A7&amp;";","; "&amp;'Plan de pruebas'!$M$7:$M$108&amp;";")))</f>
        <v/>
      </c>
      <c r="D7" s="38">
        <f>SUMPRODUCT(--ISNUMBER(SEARCH("; "&amp;$A7&amp;";","; "&amp;'Plan de pruebas'!$M$7:$M$108&amp;";")),--('Plan de pruebas'!$I$7:$I$108="SI"))</f>
        <v/>
      </c>
      <c r="E7" s="38">
        <f>SUMPRODUCT(--ISNUMBER(SEARCH("; "&amp;$A7&amp;";","; "&amp;'Plan de pruebas'!$M$7:$M$108&amp;";")),--('Plan de pruebas'!$I$7:$I$108="NO"))</f>
        <v/>
      </c>
      <c r="F7" s="38">
        <f>SUMPRODUCT(--ISNUMBER(SEARCH("; "&amp;$A7&amp;";","; "&amp;'Plan de pruebas'!$M$7:$M$108&amp;";")),--('Plan de pruebas'!$I$7:$I$108="PENDIENTE"))</f>
        <v/>
      </c>
      <c r="G7" s="38">
        <f>IF(C7=0,"SIN CUBRIR",IF(E7&gt;0,"CON FALLAS",IF(D7&gt;0,"VERIFICADO (parcial)","PLANIFICADO")))</f>
        <v/>
      </c>
    </row>
    <row r="8" ht="15" customHeight="1" s="26">
      <c r="A8" s="32" t="inlineStr">
        <is>
          <t>RF-04</t>
        </is>
      </c>
      <c r="B8" s="34" t="inlineStr">
        <is>
          <t>Bloqueo y baneo de usuarios por fraude</t>
        </is>
      </c>
      <c r="C8" s="38">
        <f>SUMPRODUCT(--ISNUMBER(SEARCH("; "&amp;$A8&amp;";","; "&amp;'Plan de pruebas'!$M$7:$M$108&amp;";")))</f>
        <v/>
      </c>
      <c r="D8" s="38">
        <f>SUMPRODUCT(--ISNUMBER(SEARCH("; "&amp;$A8&amp;";","; "&amp;'Plan de pruebas'!$M$7:$M$108&amp;";")),--('Plan de pruebas'!$I$7:$I$108="SI"))</f>
        <v/>
      </c>
      <c r="E8" s="38">
        <f>SUMPRODUCT(--ISNUMBER(SEARCH("; "&amp;$A8&amp;";","; "&amp;'Plan de pruebas'!$M$7:$M$108&amp;";")),--('Plan de pruebas'!$I$7:$I$108="NO"))</f>
        <v/>
      </c>
      <c r="F8" s="38">
        <f>SUMPRODUCT(--ISNUMBER(SEARCH("; "&amp;$A8&amp;";","; "&amp;'Plan de pruebas'!$M$7:$M$108&amp;";")),--('Plan de pruebas'!$I$7:$I$108="PENDIENTE"))</f>
        <v/>
      </c>
      <c r="G8" s="38">
        <f>IF(C8=0,"SIN CUBRIR",IF(E8&gt;0,"CON FALLAS",IF(D8&gt;0,"VERIFICADO (parcial)","PLANIFICADO")))</f>
        <v/>
      </c>
    </row>
    <row r="9" ht="15" customHeight="1" s="26">
      <c r="A9" s="32" t="inlineStr">
        <is>
          <t>RF-05</t>
        </is>
      </c>
      <c r="B9" s="34" t="inlineStr">
        <is>
          <t>Registro de fincas con geolocalización y área</t>
        </is>
      </c>
      <c r="C9" s="38">
        <f>SUMPRODUCT(--ISNUMBER(SEARCH("; "&amp;$A9&amp;";","; "&amp;'Plan de pruebas'!$M$7:$M$108&amp;";")))</f>
        <v/>
      </c>
      <c r="D9" s="38">
        <f>SUMPRODUCT(--ISNUMBER(SEARCH("; "&amp;$A9&amp;";","; "&amp;'Plan de pruebas'!$M$7:$M$108&amp;";")),--('Plan de pruebas'!$I$7:$I$108="SI"))</f>
        <v/>
      </c>
      <c r="E9" s="38">
        <f>SUMPRODUCT(--ISNUMBER(SEARCH("; "&amp;$A9&amp;";","; "&amp;'Plan de pruebas'!$M$7:$M$108&amp;";")),--('Plan de pruebas'!$I$7:$I$108="NO"))</f>
        <v/>
      </c>
      <c r="F9" s="38">
        <f>SUMPRODUCT(--ISNUMBER(SEARCH("; "&amp;$A9&amp;";","; "&amp;'Plan de pruebas'!$M$7:$M$108&amp;";")),--('Plan de pruebas'!$I$7:$I$108="PENDIENTE"))</f>
        <v/>
      </c>
      <c r="G9" s="38">
        <f>IF(C9=0,"SIN CUBRIR",IF(E9&gt;0,"CON FALLAS",IF(D9&gt;0,"VERIFICADO (parcial)","PLANIFICADO")))</f>
        <v/>
      </c>
    </row>
    <row r="10" ht="15" customHeight="1" s="26">
      <c r="A10" s="32" t="inlineStr">
        <is>
          <t>RF-06</t>
        </is>
      </c>
      <c r="B10" s="34" t="inlineStr">
        <is>
          <t>Carga de certificados de la finca con vigencia</t>
        </is>
      </c>
      <c r="C10" s="38">
        <f>SUMPRODUCT(--ISNUMBER(SEARCH("; "&amp;$A10&amp;";","; "&amp;'Plan de pruebas'!$M$7:$M$108&amp;";")))</f>
        <v/>
      </c>
      <c r="D10" s="38">
        <f>SUMPRODUCT(--ISNUMBER(SEARCH("; "&amp;$A10&amp;";","; "&amp;'Plan de pruebas'!$M$7:$M$108&amp;";")),--('Plan de pruebas'!$I$7:$I$108="SI"))</f>
        <v/>
      </c>
      <c r="E10" s="38">
        <f>SUMPRODUCT(--ISNUMBER(SEARCH("; "&amp;$A10&amp;";","; "&amp;'Plan de pruebas'!$M$7:$M$108&amp;";")),--('Plan de pruebas'!$I$7:$I$108="NO"))</f>
        <v/>
      </c>
      <c r="F10" s="38">
        <f>SUMPRODUCT(--ISNUMBER(SEARCH("; "&amp;$A10&amp;";","; "&amp;'Plan de pruebas'!$M$7:$M$108&amp;";")),--('Plan de pruebas'!$I$7:$I$108="PENDIENTE"))</f>
        <v/>
      </c>
      <c r="G10" s="38">
        <f>IF(C10=0,"SIN CUBRIR",IF(E10&gt;0,"CON FALLAS",IF(D10&gt;0,"VERIFICADO (parcial)","PLANIFICADO")))</f>
        <v/>
      </c>
    </row>
    <row r="11" ht="15" customHeight="1" s="26">
      <c r="A11" s="32" t="inlineStr">
        <is>
          <t>RF-07</t>
        </is>
      </c>
      <c r="B11" s="34" t="inlineStr">
        <is>
          <t>Estado de cumplimiento EUDR por finca</t>
        </is>
      </c>
      <c r="C11" s="38">
        <f>SUMPRODUCT(--ISNUMBER(SEARCH("; "&amp;$A11&amp;";","; "&amp;'Plan de pruebas'!$M$7:$M$108&amp;";")))</f>
        <v/>
      </c>
      <c r="D11" s="38">
        <f>SUMPRODUCT(--ISNUMBER(SEARCH("; "&amp;$A11&amp;";","; "&amp;'Plan de pruebas'!$M$7:$M$108&amp;";")),--('Plan de pruebas'!$I$7:$I$108="SI"))</f>
        <v/>
      </c>
      <c r="E11" s="38">
        <f>SUMPRODUCT(--ISNUMBER(SEARCH("; "&amp;$A11&amp;";","; "&amp;'Plan de pruebas'!$M$7:$M$108&amp;";")),--('Plan de pruebas'!$I$7:$I$108="NO"))</f>
        <v/>
      </c>
      <c r="F11" s="38">
        <f>SUMPRODUCT(--ISNUMBER(SEARCH("; "&amp;$A11&amp;";","; "&amp;'Plan de pruebas'!$M$7:$M$108&amp;";")),--('Plan de pruebas'!$I$7:$I$108="PENDIENTE"))</f>
        <v/>
      </c>
      <c r="G11" s="38">
        <f>IF(C11=0,"SIN CUBRIR",IF(E11&gt;0,"CON FALLAS",IF(D11&gt;0,"VERIFICADO (parcial)","PLANIFICADO")))</f>
        <v/>
      </c>
    </row>
    <row r="12" ht="15" customHeight="1" s="26">
      <c r="A12" s="32" t="inlineStr">
        <is>
          <t>RF-08</t>
        </is>
      </c>
      <c r="B12" s="34" t="inlineStr">
        <is>
          <t>Perfil del vendedor</t>
        </is>
      </c>
      <c r="C12" s="38">
        <f>SUMPRODUCT(--ISNUMBER(SEARCH("; "&amp;$A12&amp;";","; "&amp;'Plan de pruebas'!$M$7:$M$108&amp;";")))</f>
        <v/>
      </c>
      <c r="D12" s="38">
        <f>SUMPRODUCT(--ISNUMBER(SEARCH("; "&amp;$A12&amp;";","; "&amp;'Plan de pruebas'!$M$7:$M$108&amp;";")),--('Plan de pruebas'!$I$7:$I$108="SI"))</f>
        <v/>
      </c>
      <c r="E12" s="38">
        <f>SUMPRODUCT(--ISNUMBER(SEARCH("; "&amp;$A12&amp;";","; "&amp;'Plan de pruebas'!$M$7:$M$108&amp;";")),--('Plan de pruebas'!$I$7:$I$108="NO"))</f>
        <v/>
      </c>
      <c r="F12" s="38">
        <f>SUMPRODUCT(--ISNUMBER(SEARCH("; "&amp;$A12&amp;";","; "&amp;'Plan de pruebas'!$M$7:$M$108&amp;";")),--('Plan de pruebas'!$I$7:$I$108="PENDIENTE"))</f>
        <v/>
      </c>
      <c r="G12" s="38">
        <f>IF(C12=0,"SIN CUBRIR",IF(E12&gt;0,"CON FALLAS",IF(D12&gt;0,"VERIFICADO (parcial)","PLANIFICADO")))</f>
        <v/>
      </c>
    </row>
    <row r="13" ht="15" customHeight="1" s="26">
      <c r="A13" s="32" t="inlineStr">
        <is>
          <t>RF-09</t>
        </is>
      </c>
      <c r="B13" s="34" t="inlineStr">
        <is>
          <t>Publicación de lotes (mínimo 100 kg, precio fijo o a acordar)</t>
        </is>
      </c>
      <c r="C13" s="38">
        <f>SUMPRODUCT(--ISNUMBER(SEARCH("; "&amp;$A13&amp;";","; "&amp;'Plan de pruebas'!$M$7:$M$108&amp;";")))</f>
        <v/>
      </c>
      <c r="D13" s="38">
        <f>SUMPRODUCT(--ISNUMBER(SEARCH("; "&amp;$A13&amp;";","; "&amp;'Plan de pruebas'!$M$7:$M$108&amp;";")),--('Plan de pruebas'!$I$7:$I$108="SI"))</f>
        <v/>
      </c>
      <c r="E13" s="38">
        <f>SUMPRODUCT(--ISNUMBER(SEARCH("; "&amp;$A13&amp;";","; "&amp;'Plan de pruebas'!$M$7:$M$108&amp;";")),--('Plan de pruebas'!$I$7:$I$108="NO"))</f>
        <v/>
      </c>
      <c r="F13" s="38">
        <f>SUMPRODUCT(--ISNUMBER(SEARCH("; "&amp;$A13&amp;";","; "&amp;'Plan de pruebas'!$M$7:$M$108&amp;";")),--('Plan de pruebas'!$I$7:$I$108="PENDIENTE"))</f>
        <v/>
      </c>
      <c r="G13" s="38">
        <f>IF(C13=0,"SIN CUBRIR",IF(E13&gt;0,"CON FALLAS",IF(D13&gt;0,"VERIFICADO (parcial)","PLANIFICADO")))</f>
        <v/>
      </c>
    </row>
    <row r="14" ht="15" customHeight="1" s="26">
      <c r="A14" s="32" t="inlineStr">
        <is>
          <t>RF-10</t>
        </is>
      </c>
      <c r="B14" s="34" t="inlineStr">
        <is>
          <t>Búsqueda y filtros de lotes</t>
        </is>
      </c>
      <c r="C14" s="38">
        <f>SUMPRODUCT(--ISNUMBER(SEARCH("; "&amp;$A14&amp;";","; "&amp;'Plan de pruebas'!$M$7:$M$108&amp;";")))</f>
        <v/>
      </c>
      <c r="D14" s="38">
        <f>SUMPRODUCT(--ISNUMBER(SEARCH("; "&amp;$A14&amp;";","; "&amp;'Plan de pruebas'!$M$7:$M$108&amp;";")),--('Plan de pruebas'!$I$7:$I$108="SI"))</f>
        <v/>
      </c>
      <c r="E14" s="38">
        <f>SUMPRODUCT(--ISNUMBER(SEARCH("; "&amp;$A14&amp;";","; "&amp;'Plan de pruebas'!$M$7:$M$108&amp;";")),--('Plan de pruebas'!$I$7:$I$108="NO"))</f>
        <v/>
      </c>
      <c r="F14" s="38">
        <f>SUMPRODUCT(--ISNUMBER(SEARCH("; "&amp;$A14&amp;";","; "&amp;'Plan de pruebas'!$M$7:$M$108&amp;";")),--('Plan de pruebas'!$I$7:$I$108="PENDIENTE"))</f>
        <v/>
      </c>
      <c r="G14" s="38">
        <f>IF(C14=0,"SIN CUBRIR",IF(E14&gt;0,"CON FALLAS",IF(D14&gt;0,"VERIFICADO (parcial)","PLANIFICADO")))</f>
        <v/>
      </c>
    </row>
    <row r="15" ht="15" customHeight="1" s="26">
      <c r="A15" s="32" t="inlineStr">
        <is>
          <t>RF-11</t>
        </is>
      </c>
      <c r="B15" s="34" t="inlineStr">
        <is>
          <t>Chat de negociación</t>
        </is>
      </c>
      <c r="C15" s="38">
        <f>SUMPRODUCT(--ISNUMBER(SEARCH("; "&amp;$A15&amp;";","; "&amp;'Plan de pruebas'!$M$7:$M$108&amp;";")))</f>
        <v/>
      </c>
      <c r="D15" s="38">
        <f>SUMPRODUCT(--ISNUMBER(SEARCH("; "&amp;$A15&amp;";","; "&amp;'Plan de pruebas'!$M$7:$M$108&amp;";")),--('Plan de pruebas'!$I$7:$I$108="SI"))</f>
        <v/>
      </c>
      <c r="E15" s="38">
        <f>SUMPRODUCT(--ISNUMBER(SEARCH("; "&amp;$A15&amp;";","; "&amp;'Plan de pruebas'!$M$7:$M$108&amp;";")),--('Plan de pruebas'!$I$7:$I$108="NO"))</f>
        <v/>
      </c>
      <c r="F15" s="38">
        <f>SUMPRODUCT(--ISNUMBER(SEARCH("; "&amp;$A15&amp;";","; "&amp;'Plan de pruebas'!$M$7:$M$108&amp;";")),--('Plan de pruebas'!$I$7:$I$108="PENDIENTE"))</f>
        <v/>
      </c>
      <c r="G15" s="38">
        <f>IF(C15=0,"SIN CUBRIR",IF(E15&gt;0,"CON FALLAS",IF(D15&gt;0,"VERIFICADO (parcial)","PLANIFICADO")))</f>
        <v/>
      </c>
    </row>
    <row r="16" ht="15" customHeight="1" s="26">
      <c r="A16" s="32" t="inlineStr">
        <is>
          <t>RF-12</t>
        </is>
      </c>
      <c r="B16" s="34" t="inlineStr">
        <is>
          <t>Transacción de venta inmutable</t>
        </is>
      </c>
      <c r="C16" s="38">
        <f>SUMPRODUCT(--ISNUMBER(SEARCH("; "&amp;$A16&amp;";","; "&amp;'Plan de pruebas'!$M$7:$M$108&amp;";")))</f>
        <v/>
      </c>
      <c r="D16" s="38">
        <f>SUMPRODUCT(--ISNUMBER(SEARCH("; "&amp;$A16&amp;";","; "&amp;'Plan de pruebas'!$M$7:$M$108&amp;";")),--('Plan de pruebas'!$I$7:$I$108="SI"))</f>
        <v/>
      </c>
      <c r="E16" s="38">
        <f>SUMPRODUCT(--ISNUMBER(SEARCH("; "&amp;$A16&amp;";","; "&amp;'Plan de pruebas'!$M$7:$M$108&amp;";")),--('Plan de pruebas'!$I$7:$I$108="NO"))</f>
        <v/>
      </c>
      <c r="F16" s="38">
        <f>SUMPRODUCT(--ISNUMBER(SEARCH("; "&amp;$A16&amp;";","; "&amp;'Plan de pruebas'!$M$7:$M$108&amp;";")),--('Plan de pruebas'!$I$7:$I$108="PENDIENTE"))</f>
        <v/>
      </c>
      <c r="G16" s="38">
        <f>IF(C16=0,"SIN CUBRIR",IF(E16&gt;0,"CON FALLAS",IF(D16&gt;0,"VERIFICADO (parcial)","PLANIFICADO")))</f>
        <v/>
      </c>
    </row>
    <row r="17" ht="15" customHeight="1" s="26">
      <c r="A17" s="32" t="inlineStr">
        <is>
          <t>RF-13</t>
        </is>
      </c>
      <c r="B17" s="34" t="inlineStr">
        <is>
          <t>Dinero bloqueado (escrow) hasta la aceptación</t>
        </is>
      </c>
      <c r="C17" s="38">
        <f>SUMPRODUCT(--ISNUMBER(SEARCH("; "&amp;$A17&amp;";","; "&amp;'Plan de pruebas'!$M$7:$M$108&amp;";")))</f>
        <v/>
      </c>
      <c r="D17" s="38">
        <f>SUMPRODUCT(--ISNUMBER(SEARCH("; "&amp;$A17&amp;";","; "&amp;'Plan de pruebas'!$M$7:$M$108&amp;";")),--('Plan de pruebas'!$I$7:$I$108="SI"))</f>
        <v/>
      </c>
      <c r="E17" s="38">
        <f>SUMPRODUCT(--ISNUMBER(SEARCH("; "&amp;$A17&amp;";","; "&amp;'Plan de pruebas'!$M$7:$M$108&amp;";")),--('Plan de pruebas'!$I$7:$I$108="NO"))</f>
        <v/>
      </c>
      <c r="F17" s="38">
        <f>SUMPRODUCT(--ISNUMBER(SEARCH("; "&amp;$A17&amp;";","; "&amp;'Plan de pruebas'!$M$7:$M$108&amp;";")),--('Plan de pruebas'!$I$7:$I$108="PENDIENTE"))</f>
        <v/>
      </c>
      <c r="G17" s="38">
        <f>IF(C17=0,"SIN CUBRIR",IF(E17&gt;0,"CON FALLAS",IF(D17&gt;0,"VERIFICADO (parcial)","PLANIFICADO")))</f>
        <v/>
      </c>
    </row>
    <row r="18" ht="15" customHeight="1" s="26">
      <c r="A18" s="32" t="inlineStr">
        <is>
          <t>RF-14</t>
        </is>
      </c>
      <c r="B18" s="34" t="inlineStr">
        <is>
          <t>Comisión del 1% con valor mínimo</t>
        </is>
      </c>
      <c r="C18" s="38">
        <f>SUMPRODUCT(--ISNUMBER(SEARCH("; "&amp;$A18&amp;";","; "&amp;'Plan de pruebas'!$M$7:$M$108&amp;";")))</f>
        <v/>
      </c>
      <c r="D18" s="38">
        <f>SUMPRODUCT(--ISNUMBER(SEARCH("; "&amp;$A18&amp;";","; "&amp;'Plan de pruebas'!$M$7:$M$108&amp;";")),--('Plan de pruebas'!$I$7:$I$108="SI"))</f>
        <v/>
      </c>
      <c r="E18" s="38">
        <f>SUMPRODUCT(--ISNUMBER(SEARCH("; "&amp;$A18&amp;";","; "&amp;'Plan de pruebas'!$M$7:$M$108&amp;";")),--('Plan de pruebas'!$I$7:$I$108="NO"))</f>
        <v/>
      </c>
      <c r="F18" s="38">
        <f>SUMPRODUCT(--ISNUMBER(SEARCH("; "&amp;$A18&amp;";","; "&amp;'Plan de pruebas'!$M$7:$M$108&amp;";")),--('Plan de pruebas'!$I$7:$I$108="PENDIENTE"))</f>
        <v/>
      </c>
      <c r="G18" s="38">
        <f>IF(C18=0,"SIN CUBRIR",IF(E18&gt;0,"CON FALLAS",IF(D18&gt;0,"VERIFICADO (parcial)","PLANIFICADO")))</f>
        <v/>
      </c>
    </row>
    <row r="19" ht="15" customHeight="1" s="26">
      <c r="A19" s="32" t="inlineStr">
        <is>
          <t>RF-15</t>
        </is>
      </c>
      <c r="B19" s="34" t="inlineStr">
        <is>
          <t>Gestión de disputas</t>
        </is>
      </c>
      <c r="C19" s="38">
        <f>SUMPRODUCT(--ISNUMBER(SEARCH("; "&amp;$A19&amp;";","; "&amp;'Plan de pruebas'!$M$7:$M$108&amp;";")))</f>
        <v/>
      </c>
      <c r="D19" s="38">
        <f>SUMPRODUCT(--ISNUMBER(SEARCH("; "&amp;$A19&amp;";","; "&amp;'Plan de pruebas'!$M$7:$M$108&amp;";")),--('Plan de pruebas'!$I$7:$I$108="SI"))</f>
        <v/>
      </c>
      <c r="E19" s="38">
        <f>SUMPRODUCT(--ISNUMBER(SEARCH("; "&amp;$A19&amp;";","; "&amp;'Plan de pruebas'!$M$7:$M$108&amp;";")),--('Plan de pruebas'!$I$7:$I$108="NO"))</f>
        <v/>
      </c>
      <c r="F19" s="38">
        <f>SUMPRODUCT(--ISNUMBER(SEARCH("; "&amp;$A19&amp;";","; "&amp;'Plan de pruebas'!$M$7:$M$108&amp;";")),--('Plan de pruebas'!$I$7:$I$108="PENDIENTE"))</f>
        <v/>
      </c>
      <c r="G19" s="38">
        <f>IF(C19=0,"SIN CUBRIR",IF(E19&gt;0,"CON FALLAS",IF(D19&gt;0,"VERIFICADO (parcial)","PLANIFICADO")))</f>
        <v/>
      </c>
    </row>
    <row r="20" ht="15" customHeight="1" s="26">
      <c r="A20" s="32" t="inlineStr">
        <is>
          <t>RF-16</t>
        </is>
      </c>
      <c r="B20" s="34" t="inlineStr">
        <is>
          <t>Registro de la muestra</t>
        </is>
      </c>
      <c r="C20" s="38">
        <f>SUMPRODUCT(--ISNUMBER(SEARCH("; "&amp;$A20&amp;";","; "&amp;'Plan de pruebas'!$M$7:$M$108&amp;";")))</f>
        <v/>
      </c>
      <c r="D20" s="38">
        <f>SUMPRODUCT(--ISNUMBER(SEARCH("; "&amp;$A20&amp;";","; "&amp;'Plan de pruebas'!$M$7:$M$108&amp;";")),--('Plan de pruebas'!$I$7:$I$108="SI"))</f>
        <v/>
      </c>
      <c r="E20" s="38">
        <f>SUMPRODUCT(--ISNUMBER(SEARCH("; "&amp;$A20&amp;";","; "&amp;'Plan de pruebas'!$M$7:$M$108&amp;";")),--('Plan de pruebas'!$I$7:$I$108="NO"))</f>
        <v/>
      </c>
      <c r="F20" s="38">
        <f>SUMPRODUCT(--ISNUMBER(SEARCH("; "&amp;$A20&amp;";","; "&amp;'Plan de pruebas'!$M$7:$M$108&amp;";")),--('Plan de pruebas'!$I$7:$I$108="PENDIENTE"))</f>
        <v/>
      </c>
      <c r="G20" s="38">
        <f>IF(C20=0,"SIN CUBRIR",IF(E20&gt;0,"CON FALLAS",IF(D20&gt;0,"VERIFICADO (parcial)","PLANIFICADO")))</f>
        <v/>
      </c>
    </row>
    <row r="21" ht="15" customHeight="1" s="26">
      <c r="A21" s="32" t="inlineStr">
        <is>
          <t>RF-17</t>
        </is>
      </c>
      <c r="B21" s="34" t="inlineStr">
        <is>
          <t>Verificación de calidad muestra vs. producto</t>
        </is>
      </c>
      <c r="C21" s="38">
        <f>SUMPRODUCT(--ISNUMBER(SEARCH("; "&amp;$A21&amp;";","; "&amp;'Plan de pruebas'!$M$7:$M$108&amp;";")))</f>
        <v/>
      </c>
      <c r="D21" s="38">
        <f>SUMPRODUCT(--ISNUMBER(SEARCH("; "&amp;$A21&amp;";","; "&amp;'Plan de pruebas'!$M$7:$M$108&amp;";")),--('Plan de pruebas'!$I$7:$I$108="SI"))</f>
        <v/>
      </c>
      <c r="E21" s="38">
        <f>SUMPRODUCT(--ISNUMBER(SEARCH("; "&amp;$A21&amp;";","; "&amp;'Plan de pruebas'!$M$7:$M$108&amp;";")),--('Plan de pruebas'!$I$7:$I$108="NO"))</f>
        <v/>
      </c>
      <c r="F21" s="38">
        <f>SUMPRODUCT(--ISNUMBER(SEARCH("; "&amp;$A21&amp;";","; "&amp;'Plan de pruebas'!$M$7:$M$108&amp;";")),--('Plan de pruebas'!$I$7:$I$108="PENDIENTE"))</f>
        <v/>
      </c>
      <c r="G21" s="38">
        <f>IF(C21=0,"SIN CUBRIR",IF(E21&gt;0,"CON FALLAS",IF(D21&gt;0,"VERIFICADO (parcial)","PLANIFICADO")))</f>
        <v/>
      </c>
    </row>
    <row r="22" ht="15" customHeight="1" s="26">
      <c r="A22" s="32" t="inlineStr">
        <is>
          <t>RF-18</t>
        </is>
      </c>
      <c r="B22" s="34" t="inlineStr">
        <is>
          <t>Veredicto del comprador libera o retiene el pago</t>
        </is>
      </c>
      <c r="C22" s="38">
        <f>SUMPRODUCT(--ISNUMBER(SEARCH("; "&amp;$A22&amp;";","; "&amp;'Plan de pruebas'!$M$7:$M$108&amp;";")))</f>
        <v/>
      </c>
      <c r="D22" s="38">
        <f>SUMPRODUCT(--ISNUMBER(SEARCH("; "&amp;$A22&amp;";","; "&amp;'Plan de pruebas'!$M$7:$M$108&amp;";")),--('Plan de pruebas'!$I$7:$I$108="SI"))</f>
        <v/>
      </c>
      <c r="E22" s="38">
        <f>SUMPRODUCT(--ISNUMBER(SEARCH("; "&amp;$A22&amp;";","; "&amp;'Plan de pruebas'!$M$7:$M$108&amp;";")),--('Plan de pruebas'!$I$7:$I$108="NO"))</f>
        <v/>
      </c>
      <c r="F22" s="38">
        <f>SUMPRODUCT(--ISNUMBER(SEARCH("; "&amp;$A22&amp;";","; "&amp;'Plan de pruebas'!$M$7:$M$108&amp;";")),--('Plan de pruebas'!$I$7:$I$108="PENDIENTE"))</f>
        <v/>
      </c>
      <c r="G22" s="38">
        <f>IF(C22=0,"SIN CUBRIR",IF(E22&gt;0,"CON FALLAS",IF(D22&gt;0,"VERIFICADO (parcial)","PLANIFICADO")))</f>
        <v/>
      </c>
    </row>
    <row r="23" ht="15" customHeight="1" s="26">
      <c r="A23" s="32" t="inlineStr">
        <is>
          <t>RF-19</t>
        </is>
      </c>
      <c r="B23" s="34" t="inlineStr">
        <is>
          <t>Actualización de estados del pedido por el transportador</t>
        </is>
      </c>
      <c r="C23" s="38">
        <f>SUMPRODUCT(--ISNUMBER(SEARCH("; "&amp;$A23&amp;";","; "&amp;'Plan de pruebas'!$M$7:$M$108&amp;";")))</f>
        <v/>
      </c>
      <c r="D23" s="38">
        <f>SUMPRODUCT(--ISNUMBER(SEARCH("; "&amp;$A23&amp;";","; "&amp;'Plan de pruebas'!$M$7:$M$108&amp;";")),--('Plan de pruebas'!$I$7:$I$108="SI"))</f>
        <v/>
      </c>
      <c r="E23" s="38">
        <f>SUMPRODUCT(--ISNUMBER(SEARCH("; "&amp;$A23&amp;";","; "&amp;'Plan de pruebas'!$M$7:$M$108&amp;";")),--('Plan de pruebas'!$I$7:$I$108="NO"))</f>
        <v/>
      </c>
      <c r="F23" s="38">
        <f>SUMPRODUCT(--ISNUMBER(SEARCH("; "&amp;$A23&amp;";","; "&amp;'Plan de pruebas'!$M$7:$M$108&amp;";")),--('Plan de pruebas'!$I$7:$I$108="PENDIENTE"))</f>
        <v/>
      </c>
      <c r="G23" s="38">
        <f>IF(C23=0,"SIN CUBRIR",IF(E23&gt;0,"CON FALLAS",IF(D23&gt;0,"VERIFICADO (parcial)","PLANIFICADO")))</f>
        <v/>
      </c>
    </row>
    <row r="24" ht="15" customHeight="1" s="26">
      <c r="A24" s="32" t="inlineStr">
        <is>
          <t>RF-20</t>
        </is>
      </c>
      <c r="B24" s="34" t="inlineStr">
        <is>
          <t>Tracker visible para comprador y vendedor</t>
        </is>
      </c>
      <c r="C24" s="38">
        <f>SUMPRODUCT(--ISNUMBER(SEARCH("; "&amp;$A24&amp;";","; "&amp;'Plan de pruebas'!$M$7:$M$108&amp;";")))</f>
        <v/>
      </c>
      <c r="D24" s="38">
        <f>SUMPRODUCT(--ISNUMBER(SEARCH("; "&amp;$A24&amp;";","; "&amp;'Plan de pruebas'!$M$7:$M$108&amp;";")),--('Plan de pruebas'!$I$7:$I$108="SI"))</f>
        <v/>
      </c>
      <c r="E24" s="38">
        <f>SUMPRODUCT(--ISNUMBER(SEARCH("; "&amp;$A24&amp;";","; "&amp;'Plan de pruebas'!$M$7:$M$108&amp;";")),--('Plan de pruebas'!$I$7:$I$108="NO"))</f>
        <v/>
      </c>
      <c r="F24" s="38">
        <f>SUMPRODUCT(--ISNUMBER(SEARCH("; "&amp;$A24&amp;";","; "&amp;'Plan de pruebas'!$M$7:$M$108&amp;";")),--('Plan de pruebas'!$I$7:$I$108="PENDIENTE"))</f>
        <v/>
      </c>
      <c r="G24" s="38">
        <f>IF(C24=0,"SIN CUBRIR",IF(E24&gt;0,"CON FALLAS",IF(D24&gt;0,"VERIFICADO (parcial)","PLANIFICADO")))</f>
        <v/>
      </c>
    </row>
    <row r="25" ht="15" customHeight="1" s="26">
      <c r="A25" s="32" t="inlineStr">
        <is>
          <t>RF-21</t>
        </is>
      </c>
      <c r="B25" s="34" t="inlineStr">
        <is>
          <t>Panel del administrador del sistema</t>
        </is>
      </c>
      <c r="C25" s="38">
        <f>SUMPRODUCT(--ISNUMBER(SEARCH("; "&amp;$A25&amp;";","; "&amp;'Plan de pruebas'!$M$7:$M$108&amp;";")))</f>
        <v/>
      </c>
      <c r="D25" s="38">
        <f>SUMPRODUCT(--ISNUMBER(SEARCH("; "&amp;$A25&amp;";","; "&amp;'Plan de pruebas'!$M$7:$M$108&amp;";")),--('Plan de pruebas'!$I$7:$I$108="SI"))</f>
        <v/>
      </c>
      <c r="E25" s="38">
        <f>SUMPRODUCT(--ISNUMBER(SEARCH("; "&amp;$A25&amp;";","; "&amp;'Plan de pruebas'!$M$7:$M$108&amp;";")),--('Plan de pruebas'!$I$7:$I$108="NO"))</f>
        <v/>
      </c>
      <c r="F25" s="38">
        <f>SUMPRODUCT(--ISNUMBER(SEARCH("; "&amp;$A25&amp;";","; "&amp;'Plan de pruebas'!$M$7:$M$108&amp;";")),--('Plan de pruebas'!$I$7:$I$108="PENDIENTE"))</f>
        <v/>
      </c>
      <c r="G25" s="38">
        <f>IF(C25=0,"SIN CUBRIR",IF(E25&gt;0,"CON FALLAS",IF(D25&gt;0,"VERIFICADO (parcial)","PLANIFICADO")))</f>
        <v/>
      </c>
    </row>
    <row r="26" ht="15" customHeight="1" s="26">
      <c r="A26" s="32" t="inlineStr">
        <is>
          <t>RF-22</t>
        </is>
      </c>
      <c r="B26" s="34" t="inlineStr">
        <is>
          <t>Panel del administrador técnico (auditoría y respaldos)</t>
        </is>
      </c>
      <c r="C26" s="38">
        <f>SUMPRODUCT(--ISNUMBER(SEARCH("; "&amp;$A26&amp;";","; "&amp;'Plan de pruebas'!$M$7:$M$108&amp;";")))</f>
        <v/>
      </c>
      <c r="D26" s="38">
        <f>SUMPRODUCT(--ISNUMBER(SEARCH("; "&amp;$A26&amp;";","; "&amp;'Plan de pruebas'!$M$7:$M$108&amp;";")),--('Plan de pruebas'!$I$7:$I$108="SI"))</f>
        <v/>
      </c>
      <c r="E26" s="38">
        <f>SUMPRODUCT(--ISNUMBER(SEARCH("; "&amp;$A26&amp;";","; "&amp;'Plan de pruebas'!$M$7:$M$108&amp;";")),--('Plan de pruebas'!$I$7:$I$108="NO"))</f>
        <v/>
      </c>
      <c r="F26" s="38">
        <f>SUMPRODUCT(--ISNUMBER(SEARCH("; "&amp;$A26&amp;";","; "&amp;'Plan de pruebas'!$M$7:$M$108&amp;";")),--('Plan de pruebas'!$I$7:$I$108="PENDIENTE"))</f>
        <v/>
      </c>
      <c r="G26" s="38">
        <f>IF(C26=0,"SIN CUBRIR",IF(E26&gt;0,"CON FALLAS",IF(D26&gt;0,"VERIFICADO (parcial)","PLANIFICADO")))</f>
        <v/>
      </c>
    </row>
    <row r="27" ht="15" customHeight="1" s="26">
      <c r="A27" s="32" t="inlineStr">
        <is>
          <t>RF-23</t>
        </is>
      </c>
      <c r="B27" s="34" t="inlineStr">
        <is>
          <t>Despliegue en AWS</t>
        </is>
      </c>
      <c r="C27" s="38">
        <f>SUMPRODUCT(--ISNUMBER(SEARCH("; "&amp;$A27&amp;";","; "&amp;'Plan de pruebas'!$M$7:$M$108&amp;";")))</f>
        <v/>
      </c>
      <c r="D27" s="38">
        <f>SUMPRODUCT(--ISNUMBER(SEARCH("; "&amp;$A27&amp;";","; "&amp;'Plan de pruebas'!$M$7:$M$108&amp;";")),--('Plan de pruebas'!$I$7:$I$108="SI"))</f>
        <v/>
      </c>
      <c r="E27" s="38">
        <f>SUMPRODUCT(--ISNUMBER(SEARCH("; "&amp;$A27&amp;";","; "&amp;'Plan de pruebas'!$M$7:$M$108&amp;";")),--('Plan de pruebas'!$I$7:$I$108="NO"))</f>
        <v/>
      </c>
      <c r="F27" s="38">
        <f>SUMPRODUCT(--ISNUMBER(SEARCH("; "&amp;$A27&amp;";","; "&amp;'Plan de pruebas'!$M$7:$M$108&amp;";")),--('Plan de pruebas'!$I$7:$I$108="PENDIENTE"))</f>
        <v/>
      </c>
      <c r="G27" s="38">
        <f>IF(C27=0,"SIN CUBRIR",IF(E27&gt;0,"CON FALLAS",IF(D27&gt;0,"VERIFICADO (parcial)","PLANIFICADO")))</f>
        <v/>
      </c>
    </row>
    <row r="28" ht="15" customHeight="1" s="26">
      <c r="A28" s="32" t="inlineStr">
        <is>
          <t>RF-24</t>
        </is>
      </c>
      <c r="B28" s="34" t="inlineStr">
        <is>
          <t>Verificación de RNF antes de cada release</t>
        </is>
      </c>
      <c r="C28" s="38">
        <f>SUMPRODUCT(--ISNUMBER(SEARCH("; "&amp;$A28&amp;";","; "&amp;'Plan de pruebas'!$M$7:$M$108&amp;";")))</f>
        <v/>
      </c>
      <c r="D28" s="38">
        <f>SUMPRODUCT(--ISNUMBER(SEARCH("; "&amp;$A28&amp;";","; "&amp;'Plan de pruebas'!$M$7:$M$108&amp;";")),--('Plan de pruebas'!$I$7:$I$108="SI"))</f>
        <v/>
      </c>
      <c r="E28" s="38">
        <f>SUMPRODUCT(--ISNUMBER(SEARCH("; "&amp;$A28&amp;";","; "&amp;'Plan de pruebas'!$M$7:$M$108&amp;";")),--('Plan de pruebas'!$I$7:$I$108="NO"))</f>
        <v/>
      </c>
      <c r="F28" s="38">
        <f>SUMPRODUCT(--ISNUMBER(SEARCH("; "&amp;$A28&amp;";","; "&amp;'Plan de pruebas'!$M$7:$M$108&amp;";")),--('Plan de pruebas'!$I$7:$I$108="PENDIENTE"))</f>
        <v/>
      </c>
      <c r="G28" s="38">
        <f>IF(C28=0,"SIN CUBRIR",IF(E28&gt;0,"CON FALLAS",IF(D28&gt;0,"VERIFICADO (parcial)","PLANIFICADO")))</f>
        <v/>
      </c>
    </row>
    <row r="29" ht="15" customHeight="1" s="26">
      <c r="A29" s="32" t="inlineStr">
        <is>
          <t>RNF-01</t>
        </is>
      </c>
      <c r="B29" s="34" t="inlineStr">
        <is>
          <t>Exactitud funcional (comisiones y pesos)</t>
        </is>
      </c>
      <c r="C29" s="38">
        <f>SUMPRODUCT(--ISNUMBER(SEARCH("; "&amp;$A29&amp;";","; "&amp;'Plan de pruebas'!$M$7:$M$108&amp;";")))</f>
        <v/>
      </c>
      <c r="D29" s="38">
        <f>SUMPRODUCT(--ISNUMBER(SEARCH("; "&amp;$A29&amp;";","; "&amp;'Plan de pruebas'!$M$7:$M$108&amp;";")),--('Plan de pruebas'!$I$7:$I$108="SI"))</f>
        <v/>
      </c>
      <c r="E29" s="38">
        <f>SUMPRODUCT(--ISNUMBER(SEARCH("; "&amp;$A29&amp;";","; "&amp;'Plan de pruebas'!$M$7:$M$108&amp;";")),--('Plan de pruebas'!$I$7:$I$108="NO"))</f>
        <v/>
      </c>
      <c r="F29" s="38">
        <f>SUMPRODUCT(--ISNUMBER(SEARCH("; "&amp;$A29&amp;";","; "&amp;'Plan de pruebas'!$M$7:$M$108&amp;";")),--('Plan de pruebas'!$I$7:$I$108="PENDIENTE"))</f>
        <v/>
      </c>
      <c r="G29" s="38">
        <f>IF(C29=0,"SIN CUBRIR",IF(E29&gt;0,"CON FALLAS",IF(D29&gt;0,"VERIFICADO (parcial)","PLANIFICADO")))</f>
        <v/>
      </c>
    </row>
    <row r="30" ht="15" customHeight="1" s="26">
      <c r="A30" s="32" t="inlineStr">
        <is>
          <t>RNF-02</t>
        </is>
      </c>
      <c r="B30" s="34" t="inlineStr">
        <is>
          <t>Usabilidad: protección contra errores de captura</t>
        </is>
      </c>
      <c r="C30" s="38">
        <f>SUMPRODUCT(--ISNUMBER(SEARCH("; "&amp;$A30&amp;";","; "&amp;'Plan de pruebas'!$M$7:$M$108&amp;";")))</f>
        <v/>
      </c>
      <c r="D30" s="38">
        <f>SUMPRODUCT(--ISNUMBER(SEARCH("; "&amp;$A30&amp;";","; "&amp;'Plan de pruebas'!$M$7:$M$108&amp;";")),--('Plan de pruebas'!$I$7:$I$108="SI"))</f>
        <v/>
      </c>
      <c r="E30" s="38">
        <f>SUMPRODUCT(--ISNUMBER(SEARCH("; "&amp;$A30&amp;";","; "&amp;'Plan de pruebas'!$M$7:$M$108&amp;";")),--('Plan de pruebas'!$I$7:$I$108="NO"))</f>
        <v/>
      </c>
      <c r="F30" s="38">
        <f>SUMPRODUCT(--ISNUMBER(SEARCH("; "&amp;$A30&amp;";","; "&amp;'Plan de pruebas'!$M$7:$M$108&amp;";")),--('Plan de pruebas'!$I$7:$I$108="PENDIENTE"))</f>
        <v/>
      </c>
      <c r="G30" s="38">
        <f>IF(C30=0,"SIN CUBRIR",IF(E30&gt;0,"CON FALLAS",IF(D30&gt;0,"VERIFICADO (parcial)","PLANIFICADO")))</f>
        <v/>
      </c>
    </row>
    <row r="31" ht="15" customHeight="1" s="26">
      <c r="A31" s="32" t="inlineStr">
        <is>
          <t>RNF-03</t>
        </is>
      </c>
      <c r="B31" s="34" t="inlineStr">
        <is>
          <t>Fiabilidad: transacción inmutable y durable</t>
        </is>
      </c>
      <c r="C31" s="38">
        <f>SUMPRODUCT(--ISNUMBER(SEARCH("; "&amp;$A31&amp;";","; "&amp;'Plan de pruebas'!$M$7:$M$108&amp;";")))</f>
        <v/>
      </c>
      <c r="D31" s="38">
        <f>SUMPRODUCT(--ISNUMBER(SEARCH("; "&amp;$A31&amp;";","; "&amp;'Plan de pruebas'!$M$7:$M$108&amp;";")),--('Plan de pruebas'!$I$7:$I$108="SI"))</f>
        <v/>
      </c>
      <c r="E31" s="38">
        <f>SUMPRODUCT(--ISNUMBER(SEARCH("; "&amp;$A31&amp;";","; "&amp;'Plan de pruebas'!$M$7:$M$108&amp;";")),--('Plan de pruebas'!$I$7:$I$108="NO"))</f>
        <v/>
      </c>
      <c r="F31" s="38">
        <f>SUMPRODUCT(--ISNUMBER(SEARCH("; "&amp;$A31&amp;";","; "&amp;'Plan de pruebas'!$M$7:$M$108&amp;";")),--('Plan de pruebas'!$I$7:$I$108="PENDIENTE"))</f>
        <v/>
      </c>
      <c r="G31" s="38">
        <f>IF(C31=0,"SIN CUBRIR",IF(E31&gt;0,"CON FALLAS",IF(D31&gt;0,"VERIFICADO (parcial)","PLANIFICADO")))</f>
        <v/>
      </c>
    </row>
    <row r="32" ht="15" customHeight="1" s="26">
      <c r="A32" s="32" t="inlineStr">
        <is>
          <t>RNF-04</t>
        </is>
      </c>
      <c r="B32" s="34" t="inlineStr">
        <is>
          <t>Mantenibilidad por módulos y capas</t>
        </is>
      </c>
      <c r="C32" s="38">
        <f>SUMPRODUCT(--ISNUMBER(SEARCH("; "&amp;$A32&amp;";","; "&amp;'Plan de pruebas'!$M$7:$M$108&amp;";")))</f>
        <v/>
      </c>
      <c r="D32" s="38">
        <f>SUMPRODUCT(--ISNUMBER(SEARCH("; "&amp;$A32&amp;";","; "&amp;'Plan de pruebas'!$M$7:$M$108&amp;";")),--('Plan de pruebas'!$I$7:$I$108="SI"))</f>
        <v/>
      </c>
      <c r="E32" s="38">
        <f>SUMPRODUCT(--ISNUMBER(SEARCH("; "&amp;$A32&amp;";","; "&amp;'Plan de pruebas'!$M$7:$M$108&amp;";")),--('Plan de pruebas'!$I$7:$I$108="NO"))</f>
        <v/>
      </c>
      <c r="F32" s="38">
        <f>SUMPRODUCT(--ISNUMBER(SEARCH("; "&amp;$A32&amp;";","; "&amp;'Plan de pruebas'!$M$7:$M$108&amp;";")),--('Plan de pruebas'!$I$7:$I$108="PENDIENTE"))</f>
        <v/>
      </c>
      <c r="G32" s="38">
        <f>IF(C32=0,"SIN CUBRIR",IF(E32&gt;0,"CON FALLAS",IF(D32&gt;0,"VERIFICADO (parcial)","PLANIFICADO")))</f>
        <v/>
      </c>
    </row>
    <row r="33" ht="15" customHeight="1" s="26">
      <c r="A33" s="32" t="inlineStr">
        <is>
          <t>RNF-05</t>
        </is>
      </c>
      <c r="B33" s="34" t="inlineStr">
        <is>
          <t>Seguridad de documentos y datos privados</t>
        </is>
      </c>
      <c r="C33" s="38">
        <f>SUMPRODUCT(--ISNUMBER(SEARCH("; "&amp;$A33&amp;";","; "&amp;'Plan de pruebas'!$M$7:$M$108&amp;";")))</f>
        <v/>
      </c>
      <c r="D33" s="38">
        <f>SUMPRODUCT(--ISNUMBER(SEARCH("; "&amp;$A33&amp;";","; "&amp;'Plan de pruebas'!$M$7:$M$108&amp;";")),--('Plan de pruebas'!$I$7:$I$108="SI"))</f>
        <v/>
      </c>
      <c r="E33" s="38">
        <f>SUMPRODUCT(--ISNUMBER(SEARCH("; "&amp;$A33&amp;";","; "&amp;'Plan de pruebas'!$M$7:$M$108&amp;";")),--('Plan de pruebas'!$I$7:$I$108="NO"))</f>
        <v/>
      </c>
      <c r="F33" s="38">
        <f>SUMPRODUCT(--ISNUMBER(SEARCH("; "&amp;$A33&amp;";","; "&amp;'Plan de pruebas'!$M$7:$M$108&amp;";")),--('Plan de pruebas'!$I$7:$I$108="PENDIENTE"))</f>
        <v/>
      </c>
      <c r="G33" s="38">
        <f>IF(C33=0,"SIN CUBRIR",IF(E33&gt;0,"CON FALLAS",IF(D33&gt;0,"VERIFICADO (parcial)","PLANIFICADO")))</f>
        <v/>
      </c>
    </row>
    <row r="34" ht="15" customHeight="1" s="26">
      <c r="A34" s="32" t="inlineStr">
        <is>
          <t>RNF-06</t>
        </is>
      </c>
      <c r="B34" s="34" t="inlineStr">
        <is>
          <t>Respaldo automático en AWS</t>
        </is>
      </c>
      <c r="C34" s="38">
        <f>SUMPRODUCT(--ISNUMBER(SEARCH("; "&amp;$A34&amp;";","; "&amp;'Plan de pruebas'!$M$7:$M$108&amp;";")))</f>
        <v/>
      </c>
      <c r="D34" s="38">
        <f>SUMPRODUCT(--ISNUMBER(SEARCH("; "&amp;$A34&amp;";","; "&amp;'Plan de pruebas'!$M$7:$M$108&amp;";")),--('Plan de pruebas'!$I$7:$I$108="SI"))</f>
        <v/>
      </c>
      <c r="E34" s="38">
        <f>SUMPRODUCT(--ISNUMBER(SEARCH("; "&amp;$A34&amp;";","; "&amp;'Plan de pruebas'!$M$7:$M$108&amp;";")),--('Plan de pruebas'!$I$7:$I$108="NO"))</f>
        <v/>
      </c>
      <c r="F34" s="38">
        <f>SUMPRODUCT(--ISNUMBER(SEARCH("; "&amp;$A34&amp;";","; "&amp;'Plan de pruebas'!$M$7:$M$108&amp;";")),--('Plan de pruebas'!$I$7:$I$108="PENDIENTE"))</f>
        <v/>
      </c>
      <c r="G34" s="38">
        <f>IF(C34=0,"SIN CUBRIR",IF(E34&gt;0,"CON FALLAS",IF(D34&gt;0,"VERIFICADO (parcial)","PLANIFICADO")))</f>
        <v/>
      </c>
    </row>
    <row r="35" ht="15" customHeight="1" s="26">
      <c r="A35" s="32" t="inlineStr">
        <is>
          <t>RNF-07</t>
        </is>
      </c>
      <c r="B35" s="34" t="inlineStr">
        <is>
          <t>Rendimiento de búsquedas y listados</t>
        </is>
      </c>
      <c r="C35" s="38">
        <f>SUMPRODUCT(--ISNUMBER(SEARCH("; "&amp;$A35&amp;";","; "&amp;'Plan de pruebas'!$M$7:$M$108&amp;";")))</f>
        <v/>
      </c>
      <c r="D35" s="38">
        <f>SUMPRODUCT(--ISNUMBER(SEARCH("; "&amp;$A35&amp;";","; "&amp;'Plan de pruebas'!$M$7:$M$108&amp;";")),--('Plan de pruebas'!$I$7:$I$108="SI"))</f>
        <v/>
      </c>
      <c r="E35" s="38">
        <f>SUMPRODUCT(--ISNUMBER(SEARCH("; "&amp;$A35&amp;";","; "&amp;'Plan de pruebas'!$M$7:$M$108&amp;";")),--('Plan de pruebas'!$I$7:$I$108="NO"))</f>
        <v/>
      </c>
      <c r="F35" s="38">
        <f>SUMPRODUCT(--ISNUMBER(SEARCH("; "&amp;$A35&amp;";","; "&amp;'Plan de pruebas'!$M$7:$M$108&amp;";")),--('Plan de pruebas'!$I$7:$I$108="PENDIENTE"))</f>
        <v/>
      </c>
      <c r="G35" s="38">
        <f>IF(C35=0,"SIN CUBRIR",IF(E35&gt;0,"CON FALLAS",IF(D35&gt;0,"VERIFICADO (parcial)","PLANIFICADO")))</f>
        <v/>
      </c>
    </row>
    <row r="36" ht="15" customHeight="1" s="26">
      <c r="A36" s="32" t="inlineStr">
        <is>
          <t>RNF-08</t>
        </is>
      </c>
      <c r="B36" s="34" t="inlineStr">
        <is>
          <t>Disponibilidad en releases mensuales</t>
        </is>
      </c>
      <c r="C36" s="38">
        <f>SUMPRODUCT(--ISNUMBER(SEARCH("; "&amp;$A36&amp;";","; "&amp;'Plan de pruebas'!$M$7:$M$108&amp;";")))</f>
        <v/>
      </c>
      <c r="D36" s="38">
        <f>SUMPRODUCT(--ISNUMBER(SEARCH("; "&amp;$A36&amp;";","; "&amp;'Plan de pruebas'!$M$7:$M$108&amp;";")),--('Plan de pruebas'!$I$7:$I$108="SI"))</f>
        <v/>
      </c>
      <c r="E36" s="38">
        <f>SUMPRODUCT(--ISNUMBER(SEARCH("; "&amp;$A36&amp;";","; "&amp;'Plan de pruebas'!$M$7:$M$108&amp;";")),--('Plan de pruebas'!$I$7:$I$108="NO"))</f>
        <v/>
      </c>
      <c r="F36" s="38">
        <f>SUMPRODUCT(--ISNUMBER(SEARCH("; "&amp;$A36&amp;";","; "&amp;'Plan de pruebas'!$M$7:$M$108&amp;";")),--('Plan de pruebas'!$I$7:$I$108="PENDIENTE"))</f>
        <v/>
      </c>
      <c r="G36" s="38">
        <f>IF(C36=0,"SIN CUBRIR",IF(E36&gt;0,"CON FALLAS",IF(D36&gt;0,"VERIFICADO (parcial)","PLANIFICADO")))</f>
        <v/>
      </c>
    </row>
    <row r="37" ht="15" customHeight="1" s="26">
      <c r="A37" s="32" t="inlineStr">
        <is>
          <t>RNF-09</t>
        </is>
      </c>
      <c r="B37" s="34" t="inlineStr">
        <is>
          <t>Privacidad de ubicación y fincas</t>
        </is>
      </c>
      <c r="C37" s="38">
        <f>SUMPRODUCT(--ISNUMBER(SEARCH("; "&amp;$A37&amp;";","; "&amp;'Plan de pruebas'!$M$7:$M$108&amp;";")))</f>
        <v/>
      </c>
      <c r="D37" s="38">
        <f>SUMPRODUCT(--ISNUMBER(SEARCH("; "&amp;$A37&amp;";","; "&amp;'Plan de pruebas'!$M$7:$M$108&amp;";")),--('Plan de pruebas'!$I$7:$I$108="SI"))</f>
        <v/>
      </c>
      <c r="E37" s="38">
        <f>SUMPRODUCT(--ISNUMBER(SEARCH("; "&amp;$A37&amp;";","; "&amp;'Plan de pruebas'!$M$7:$M$108&amp;";")),--('Plan de pruebas'!$I$7:$I$108="NO"))</f>
        <v/>
      </c>
      <c r="F37" s="38">
        <f>SUMPRODUCT(--ISNUMBER(SEARCH("; "&amp;$A37&amp;";","; "&amp;'Plan de pruebas'!$M$7:$M$108&amp;";")),--('Plan de pruebas'!$I$7:$I$108="PENDIENTE"))</f>
        <v/>
      </c>
      <c r="G37" s="38">
        <f>IF(C37=0,"SIN CUBRIR",IF(E37&gt;0,"CON FALLAS",IF(D37&gt;0,"VERIFICADO (parcial)","PLANIFICADO")))</f>
        <v/>
      </c>
    </row>
    <row r="38" ht="15" customHeight="1" s="26">
      <c r="A38" s="32" t="inlineStr">
        <is>
          <t>RNF-10</t>
        </is>
      </c>
      <c r="B38" s="34" t="inlineStr">
        <is>
          <t>Internacionalización (multi-idioma)</t>
        </is>
      </c>
      <c r="C38" s="38">
        <f>SUMPRODUCT(--ISNUMBER(SEARCH("; "&amp;$A38&amp;";","; "&amp;'Plan de pruebas'!$M$7:$M$108&amp;";")))</f>
        <v/>
      </c>
      <c r="D38" s="38">
        <f>SUMPRODUCT(--ISNUMBER(SEARCH("; "&amp;$A38&amp;";","; "&amp;'Plan de pruebas'!$M$7:$M$108&amp;";")),--('Plan de pruebas'!$I$7:$I$108="SI"))</f>
        <v/>
      </c>
      <c r="E38" s="38">
        <f>SUMPRODUCT(--ISNUMBER(SEARCH("; "&amp;$A38&amp;";","; "&amp;'Plan de pruebas'!$M$7:$M$108&amp;";")),--('Plan de pruebas'!$I$7:$I$108="NO"))</f>
        <v/>
      </c>
      <c r="F38" s="38">
        <f>SUMPRODUCT(--ISNUMBER(SEARCH("; "&amp;$A38&amp;";","; "&amp;'Plan de pruebas'!$M$7:$M$108&amp;";")),--('Plan de pruebas'!$I$7:$I$108="PENDIENTE"))</f>
        <v/>
      </c>
      <c r="G38" s="38">
        <f>IF(C38=0,"SIN CUBRIR",IF(E38&gt;0,"CON FALLAS",IF(D38&gt;0,"VERIFICADO (parcial)","PLANIFICADO")))</f>
        <v/>
      </c>
    </row>
    <row r="39" ht="15" customHeight="1" s="26">
      <c r="A39" s="32" t="inlineStr">
        <is>
          <t>RNF-11</t>
        </is>
      </c>
      <c r="B39" s="34" t="inlineStr">
        <is>
          <t>Auditoría de acciones</t>
        </is>
      </c>
      <c r="C39" s="38">
        <f>SUMPRODUCT(--ISNUMBER(SEARCH("; "&amp;$A39&amp;";","; "&amp;'Plan de pruebas'!$M$7:$M$108&amp;";")))</f>
        <v/>
      </c>
      <c r="D39" s="38">
        <f>SUMPRODUCT(--ISNUMBER(SEARCH("; "&amp;$A39&amp;";","; "&amp;'Plan de pruebas'!$M$7:$M$108&amp;";")),--('Plan de pruebas'!$I$7:$I$108="SI"))</f>
        <v/>
      </c>
      <c r="E39" s="38">
        <f>SUMPRODUCT(--ISNUMBER(SEARCH("; "&amp;$A39&amp;";","; "&amp;'Plan de pruebas'!$M$7:$M$108&amp;";")),--('Plan de pruebas'!$I$7:$I$108="NO"))</f>
        <v/>
      </c>
      <c r="F39" s="38">
        <f>SUMPRODUCT(--ISNUMBER(SEARCH("; "&amp;$A39&amp;";","; "&amp;'Plan de pruebas'!$M$7:$M$108&amp;";")),--('Plan de pruebas'!$I$7:$I$108="PENDIENTE"))</f>
        <v/>
      </c>
      <c r="G39" s="38">
        <f>IF(C39=0,"SIN CUBRIR",IF(E39&gt;0,"CON FALLAS",IF(D39&gt;0,"VERIFICADO (parcial)","PLANIFICADO")))</f>
        <v/>
      </c>
    </row>
    <row r="40" ht="15" customHeight="1" s="26">
      <c r="A40" s="32" t="inlineStr">
        <is>
          <t>RN-1</t>
        </is>
      </c>
      <c r="B40" s="34" t="inlineStr">
        <is>
          <t>Cantidad mínima por exportación: 100 kg</t>
        </is>
      </c>
      <c r="C40" s="38">
        <f>SUMPRODUCT(--ISNUMBER(SEARCH("; "&amp;$A40&amp;";","; "&amp;'Plan de pruebas'!$M$7:$M$108&amp;";")))</f>
        <v/>
      </c>
      <c r="D40" s="38">
        <f>SUMPRODUCT(--ISNUMBER(SEARCH("; "&amp;$A40&amp;";","; "&amp;'Plan de pruebas'!$M$7:$M$108&amp;";")),--('Plan de pruebas'!$I$7:$I$108="SI"))</f>
        <v/>
      </c>
      <c r="E40" s="38">
        <f>SUMPRODUCT(--ISNUMBER(SEARCH("; "&amp;$A40&amp;";","; "&amp;'Plan de pruebas'!$M$7:$M$108&amp;";")),--('Plan de pruebas'!$I$7:$I$108="NO"))</f>
        <v/>
      </c>
      <c r="F40" s="38">
        <f>SUMPRODUCT(--ISNUMBER(SEARCH("; "&amp;$A40&amp;";","; "&amp;'Plan de pruebas'!$M$7:$M$108&amp;";")),--('Plan de pruebas'!$I$7:$I$108="PENDIENTE"))</f>
        <v/>
      </c>
      <c r="G40" s="38">
        <f>IF(C40=0,"SIN CUBRIR",IF(E40&gt;0,"CON FALLAS",IF(D40&gt;0,"VERIFICADO (parcial)","PLANIFICADO")))</f>
        <v/>
      </c>
    </row>
    <row r="41" ht="15" customHeight="1" s="26">
      <c r="A41" s="32" t="inlineStr">
        <is>
          <t>RN-2</t>
        </is>
      </c>
      <c r="B41" s="34" t="inlineStr">
        <is>
          <t>Café y cacao de origen Nariño certificado</t>
        </is>
      </c>
      <c r="C41" s="38">
        <f>SUMPRODUCT(--ISNUMBER(SEARCH("; "&amp;$A41&amp;";","; "&amp;'Plan de pruebas'!$M$7:$M$108&amp;";")))</f>
        <v/>
      </c>
      <c r="D41" s="38">
        <f>SUMPRODUCT(--ISNUMBER(SEARCH("; "&amp;$A41&amp;";","; "&amp;'Plan de pruebas'!$M$7:$M$108&amp;";")),--('Plan de pruebas'!$I$7:$I$108="SI"))</f>
        <v/>
      </c>
      <c r="E41" s="38">
        <f>SUMPRODUCT(--ISNUMBER(SEARCH("; "&amp;$A41&amp;";","; "&amp;'Plan de pruebas'!$M$7:$M$108&amp;";")),--('Plan de pruebas'!$I$7:$I$108="NO"))</f>
        <v/>
      </c>
      <c r="F41" s="38">
        <f>SUMPRODUCT(--ISNUMBER(SEARCH("; "&amp;$A41&amp;";","; "&amp;'Plan de pruebas'!$M$7:$M$108&amp;";")),--('Plan de pruebas'!$I$7:$I$108="PENDIENTE"))</f>
        <v/>
      </c>
      <c r="G41" s="38">
        <f>IF(C41=0,"SIN CUBRIR",IF(E41&gt;0,"CON FALLAS",IF(D41&gt;0,"VERIFICADO (parcial)","PLANIFICADO")))</f>
        <v/>
      </c>
    </row>
    <row r="42" ht="15" customHeight="1" s="26">
      <c r="A42" s="32" t="inlineStr">
        <is>
          <t>RN-3</t>
        </is>
      </c>
      <c r="B42" s="34" t="inlineStr">
        <is>
          <t>El propietario sube la certificación de origen</t>
        </is>
      </c>
      <c r="C42" s="38">
        <f>SUMPRODUCT(--ISNUMBER(SEARCH("; "&amp;$A42&amp;";","; "&amp;'Plan de pruebas'!$M$7:$M$108&amp;";")))</f>
        <v/>
      </c>
      <c r="D42" s="38">
        <f>SUMPRODUCT(--ISNUMBER(SEARCH("; "&amp;$A42&amp;";","; "&amp;'Plan de pruebas'!$M$7:$M$108&amp;";")),--('Plan de pruebas'!$I$7:$I$108="SI"))</f>
        <v/>
      </c>
      <c r="E42" s="38">
        <f>SUMPRODUCT(--ISNUMBER(SEARCH("; "&amp;$A42&amp;";","; "&amp;'Plan de pruebas'!$M$7:$M$108&amp;";")),--('Plan de pruebas'!$I$7:$I$108="NO"))</f>
        <v/>
      </c>
      <c r="F42" s="38">
        <f>SUMPRODUCT(--ISNUMBER(SEARCH("; "&amp;$A42&amp;";","; "&amp;'Plan de pruebas'!$M$7:$M$108&amp;";")),--('Plan de pruebas'!$I$7:$I$108="PENDIENTE"))</f>
        <v/>
      </c>
      <c r="G42" s="38">
        <f>IF(C42=0,"SIN CUBRIR",IF(E42&gt;0,"CON FALLAS",IF(D42&gt;0,"VERIFICADO (parcial)","PLANIFICADO")))</f>
        <v/>
      </c>
    </row>
    <row r="43" ht="15" customHeight="1" s="26">
      <c r="A43" s="32" t="inlineStr">
        <is>
          <t>RN-4</t>
        </is>
      </c>
      <c r="B43" s="34" t="inlineStr">
        <is>
          <t>Precio o acuerdo, origen y cantidad por exportación</t>
        </is>
      </c>
      <c r="C43" s="38">
        <f>SUMPRODUCT(--ISNUMBER(SEARCH("; "&amp;$A43&amp;";","; "&amp;'Plan de pruebas'!$M$7:$M$108&amp;";")))</f>
        <v/>
      </c>
      <c r="D43" s="38">
        <f>SUMPRODUCT(--ISNUMBER(SEARCH("; "&amp;$A43&amp;";","; "&amp;'Plan de pruebas'!$M$7:$M$108&amp;";")),--('Plan de pruebas'!$I$7:$I$108="SI"))</f>
        <v/>
      </c>
      <c r="E43" s="38">
        <f>SUMPRODUCT(--ISNUMBER(SEARCH("; "&amp;$A43&amp;";","; "&amp;'Plan de pruebas'!$M$7:$M$108&amp;";")),--('Plan de pruebas'!$I$7:$I$108="NO"))</f>
        <v/>
      </c>
      <c r="F43" s="38">
        <f>SUMPRODUCT(--ISNUMBER(SEARCH("; "&amp;$A43&amp;";","; "&amp;'Plan de pruebas'!$M$7:$M$108&amp;";")),--('Plan de pruebas'!$I$7:$I$108="PENDIENTE"))</f>
        <v/>
      </c>
      <c r="G43" s="38">
        <f>IF(C43=0,"SIN CUBRIR",IF(E43&gt;0,"CON FALLAS",IF(D43&gt;0,"VERIFICADO (parcial)","PLANIFICADO")))</f>
        <v/>
      </c>
    </row>
    <row r="44" ht="15" customHeight="1" s="26">
      <c r="A44" s="32" t="inlineStr">
        <is>
          <t>RN-5</t>
        </is>
      </c>
      <c r="B44" s="34" t="inlineStr">
        <is>
          <t>Nombre, identificación y firma una sola vez</t>
        </is>
      </c>
      <c r="C44" s="38">
        <f>SUMPRODUCT(--ISNUMBER(SEARCH("; "&amp;$A44&amp;";","; "&amp;'Plan de pruebas'!$M$7:$M$108&amp;";")))</f>
        <v/>
      </c>
      <c r="D44" s="38">
        <f>SUMPRODUCT(--ISNUMBER(SEARCH("; "&amp;$A44&amp;";","; "&amp;'Plan de pruebas'!$M$7:$M$108&amp;";")),--('Plan de pruebas'!$I$7:$I$108="SI"))</f>
        <v/>
      </c>
      <c r="E44" s="38">
        <f>SUMPRODUCT(--ISNUMBER(SEARCH("; "&amp;$A44&amp;";","; "&amp;'Plan de pruebas'!$M$7:$M$108&amp;";")),--('Plan de pruebas'!$I$7:$I$108="NO"))</f>
        <v/>
      </c>
      <c r="F44" s="38">
        <f>SUMPRODUCT(--ISNUMBER(SEARCH("; "&amp;$A44&amp;";","; "&amp;'Plan de pruebas'!$M$7:$M$108&amp;";")),--('Plan de pruebas'!$I$7:$I$108="PENDIENTE"))</f>
        <v/>
      </c>
      <c r="G44" s="38">
        <f>IF(C44=0,"SIN CUBRIR",IF(E44&gt;0,"CON FALLAS",IF(D44&gt;0,"VERIFICADO (parcial)","PLANIFICADO")))</f>
        <v/>
      </c>
    </row>
    <row r="45" ht="15" customHeight="1" s="26">
      <c r="A45" s="32" t="inlineStr">
        <is>
          <t>RN-6</t>
        </is>
      </c>
      <c r="B45" s="34" t="inlineStr">
        <is>
          <t>Transacción acordada no se modifica</t>
        </is>
      </c>
      <c r="C45" s="38">
        <f>SUMPRODUCT(--ISNUMBER(SEARCH("; "&amp;$A45&amp;";","; "&amp;'Plan de pruebas'!$M$7:$M$108&amp;";")))</f>
        <v/>
      </c>
      <c r="D45" s="38">
        <f>SUMPRODUCT(--ISNUMBER(SEARCH("; "&amp;$A45&amp;";","; "&amp;'Plan de pruebas'!$M$7:$M$108&amp;";")),--('Plan de pruebas'!$I$7:$I$108="SI"))</f>
        <v/>
      </c>
      <c r="E45" s="38">
        <f>SUMPRODUCT(--ISNUMBER(SEARCH("; "&amp;$A45&amp;";","; "&amp;'Plan de pruebas'!$M$7:$M$108&amp;";")),--('Plan de pruebas'!$I$7:$I$108="NO"))</f>
        <v/>
      </c>
      <c r="F45" s="38">
        <f>SUMPRODUCT(--ISNUMBER(SEARCH("; "&amp;$A45&amp;";","; "&amp;'Plan de pruebas'!$M$7:$M$108&amp;";")),--('Plan de pruebas'!$I$7:$I$108="PENDIENTE"))</f>
        <v/>
      </c>
      <c r="G45" s="38">
        <f>IF(C45=0,"SIN CUBRIR",IF(E45&gt;0,"CON FALLAS",IF(D45&gt;0,"VERIFICADO (parcial)","PLANIFICADO")))</f>
        <v/>
      </c>
    </row>
    <row r="46" ht="15" customHeight="1" s="26">
      <c r="A46" s="32" t="inlineStr">
        <is>
          <t>RN-7</t>
        </is>
      </c>
      <c r="B46" s="34" t="inlineStr">
        <is>
          <t>Escrow: se libera solo cuando el comprador acepta</t>
        </is>
      </c>
      <c r="C46" s="38">
        <f>SUMPRODUCT(--ISNUMBER(SEARCH("; "&amp;$A46&amp;";","; "&amp;'Plan de pruebas'!$M$7:$M$108&amp;";")))</f>
        <v/>
      </c>
      <c r="D46" s="38">
        <f>SUMPRODUCT(--ISNUMBER(SEARCH("; "&amp;$A46&amp;";","; "&amp;'Plan de pruebas'!$M$7:$M$108&amp;";")),--('Plan de pruebas'!$I$7:$I$108="SI"))</f>
        <v/>
      </c>
      <c r="E46" s="38">
        <f>SUMPRODUCT(--ISNUMBER(SEARCH("; "&amp;$A46&amp;";","; "&amp;'Plan de pruebas'!$M$7:$M$108&amp;";")),--('Plan de pruebas'!$I$7:$I$108="NO"))</f>
        <v/>
      </c>
      <c r="F46" s="38">
        <f>SUMPRODUCT(--ISNUMBER(SEARCH("; "&amp;$A46&amp;";","; "&amp;'Plan de pruebas'!$M$7:$M$108&amp;";")),--('Plan de pruebas'!$I$7:$I$108="PENDIENTE"))</f>
        <v/>
      </c>
      <c r="G46" s="38">
        <f>IF(C46=0,"SIN CUBRIR",IF(E46&gt;0,"CON FALLAS",IF(D46&gt;0,"VERIFICADO (parcial)","PLANIFICADO")))</f>
        <v/>
      </c>
    </row>
    <row r="47" ht="15" customHeight="1" s="26">
      <c r="A47" s="32" t="inlineStr">
        <is>
          <t>RN-8</t>
        </is>
      </c>
      <c r="B47" s="34" t="inlineStr">
        <is>
          <t>Control de calidad con muestra</t>
        </is>
      </c>
      <c r="C47" s="38">
        <f>SUMPRODUCT(--ISNUMBER(SEARCH("; "&amp;$A47&amp;";","; "&amp;'Plan de pruebas'!$M$7:$M$108&amp;";")))</f>
        <v/>
      </c>
      <c r="D47" s="38">
        <f>SUMPRODUCT(--ISNUMBER(SEARCH("; "&amp;$A47&amp;";","; "&amp;'Plan de pruebas'!$M$7:$M$108&amp;";")),--('Plan de pruebas'!$I$7:$I$108="SI"))</f>
        <v/>
      </c>
      <c r="E47" s="38">
        <f>SUMPRODUCT(--ISNUMBER(SEARCH("; "&amp;$A47&amp;";","; "&amp;'Plan de pruebas'!$M$7:$M$108&amp;";")),--('Plan de pruebas'!$I$7:$I$108="NO"))</f>
        <v/>
      </c>
      <c r="F47" s="38">
        <f>SUMPRODUCT(--ISNUMBER(SEARCH("; "&amp;$A47&amp;";","; "&amp;'Plan de pruebas'!$M$7:$M$108&amp;";")),--('Plan de pruebas'!$I$7:$I$108="PENDIENTE"))</f>
        <v/>
      </c>
      <c r="G47" s="38">
        <f>IF(C47=0,"SIN CUBRIR",IF(E47&gt;0,"CON FALLAS",IF(D47&gt;0,"VERIFICADO (parcial)","PLANIFICADO")))</f>
        <v/>
      </c>
    </row>
    <row r="48" ht="15" customHeight="1" s="26">
      <c r="A48" s="32" t="inlineStr">
        <is>
          <t>RN-9</t>
        </is>
      </c>
      <c r="B48" s="34" t="inlineStr">
        <is>
          <t>Parámetros de calidad del laboratorio</t>
        </is>
      </c>
      <c r="C48" s="38">
        <f>SUMPRODUCT(--ISNUMBER(SEARCH("; "&amp;$A48&amp;";","; "&amp;'Plan de pruebas'!$M$7:$M$108&amp;";")))</f>
        <v/>
      </c>
      <c r="D48" s="38">
        <f>SUMPRODUCT(--ISNUMBER(SEARCH("; "&amp;$A48&amp;";","; "&amp;'Plan de pruebas'!$M$7:$M$108&amp;";")),--('Plan de pruebas'!$I$7:$I$108="SI"))</f>
        <v/>
      </c>
      <c r="E48" s="38">
        <f>SUMPRODUCT(--ISNUMBER(SEARCH("; "&amp;$A48&amp;";","; "&amp;'Plan de pruebas'!$M$7:$M$108&amp;";")),--('Plan de pruebas'!$I$7:$I$108="NO"))</f>
        <v/>
      </c>
      <c r="F48" s="38">
        <f>SUMPRODUCT(--ISNUMBER(SEARCH("; "&amp;$A48&amp;";","; "&amp;'Plan de pruebas'!$M$7:$M$108&amp;";")),--('Plan de pruebas'!$I$7:$I$108="PENDIENTE"))</f>
        <v/>
      </c>
      <c r="G48" s="38">
        <f>IF(C48=0,"SIN CUBRIR",IF(E48&gt;0,"CON FALLAS",IF(D48&gt;0,"VERIFICADO (parcial)","PLANIFICADO")))</f>
        <v/>
      </c>
    </row>
    <row r="49" ht="15" customHeight="1" s="26">
      <c r="A49" s="32" t="inlineStr">
        <is>
          <t>RN-10</t>
        </is>
      </c>
      <c r="B49" s="34" t="inlineStr">
        <is>
          <t>Solo productores de Colombia</t>
        </is>
      </c>
      <c r="C49" s="38">
        <f>SUMPRODUCT(--ISNUMBER(SEARCH("; "&amp;$A49&amp;";","; "&amp;'Plan de pruebas'!$M$7:$M$108&amp;";")))</f>
        <v/>
      </c>
      <c r="D49" s="38">
        <f>SUMPRODUCT(--ISNUMBER(SEARCH("; "&amp;$A49&amp;";","; "&amp;'Plan de pruebas'!$M$7:$M$108&amp;";")),--('Plan de pruebas'!$I$7:$I$108="SI"))</f>
        <v/>
      </c>
      <c r="E49" s="38">
        <f>SUMPRODUCT(--ISNUMBER(SEARCH("; "&amp;$A49&amp;";","; "&amp;'Plan de pruebas'!$M$7:$M$108&amp;";")),--('Plan de pruebas'!$I$7:$I$108="NO"))</f>
        <v/>
      </c>
      <c r="F49" s="38">
        <f>SUMPRODUCT(--ISNUMBER(SEARCH("; "&amp;$A49&amp;";","; "&amp;'Plan de pruebas'!$M$7:$M$108&amp;";")),--('Plan de pruebas'!$I$7:$I$108="PENDIENTE"))</f>
        <v/>
      </c>
      <c r="G49" s="38">
        <f>IF(C49=0,"SIN CUBRIR",IF(E49&gt;0,"CON FALLAS",IF(D49&gt;0,"VERIFICADO (parcial)","PLANIFICADO")))</f>
        <v/>
      </c>
    </row>
    <row r="50" ht="15" customHeight="1" s="26">
      <c r="A50" s="32" t="inlineStr">
        <is>
          <t>RN-11</t>
        </is>
      </c>
      <c r="B50" s="34" t="inlineStr">
        <is>
          <t>Comisión a comprador y vendedor (1% con mínimo)</t>
        </is>
      </c>
      <c r="C50" s="38">
        <f>SUMPRODUCT(--ISNUMBER(SEARCH("; "&amp;$A50&amp;";","; "&amp;'Plan de pruebas'!$M$7:$M$108&amp;";")))</f>
        <v/>
      </c>
      <c r="D50" s="38">
        <f>SUMPRODUCT(--ISNUMBER(SEARCH("; "&amp;$A50&amp;";","; "&amp;'Plan de pruebas'!$M$7:$M$108&amp;";")),--('Plan de pruebas'!$I$7:$I$108="SI"))</f>
        <v/>
      </c>
      <c r="E50" s="38">
        <f>SUMPRODUCT(--ISNUMBER(SEARCH("; "&amp;$A50&amp;";","; "&amp;'Plan de pruebas'!$M$7:$M$108&amp;";")),--('Plan de pruebas'!$I$7:$I$108="NO"))</f>
        <v/>
      </c>
      <c r="F50" s="38">
        <f>SUMPRODUCT(--ISNUMBER(SEARCH("; "&amp;$A50&amp;";","; "&amp;'Plan de pruebas'!$M$7:$M$108&amp;";")),--('Plan de pruebas'!$I$7:$I$108="PENDIENTE"))</f>
        <v/>
      </c>
      <c r="G50" s="38">
        <f>IF(C50=0,"SIN CUBRIR",IF(E50&gt;0,"CON FALLAS",IF(D50&gt;0,"VERIFICADO (parcial)","PLANIFICADO")))</f>
        <v/>
      </c>
    </row>
    <row r="51" ht="15" customHeight="1" s="26">
      <c r="A51" s="32" t="inlineStr">
        <is>
          <t>RN-12</t>
        </is>
      </c>
      <c r="B51" s="34" t="inlineStr">
        <is>
          <t>Bloqueo por intento de fraude</t>
        </is>
      </c>
      <c r="C51" s="38">
        <f>SUMPRODUCT(--ISNUMBER(SEARCH("; "&amp;$A51&amp;";","; "&amp;'Plan de pruebas'!$M$7:$M$108&amp;";")))</f>
        <v/>
      </c>
      <c r="D51" s="38">
        <f>SUMPRODUCT(--ISNUMBER(SEARCH("; "&amp;$A51&amp;";","; "&amp;'Plan de pruebas'!$M$7:$M$108&amp;";")),--('Plan de pruebas'!$I$7:$I$108="SI"))</f>
        <v/>
      </c>
      <c r="E51" s="38">
        <f>SUMPRODUCT(--ISNUMBER(SEARCH("; "&amp;$A51&amp;";","; "&amp;'Plan de pruebas'!$M$7:$M$108&amp;";")),--('Plan de pruebas'!$I$7:$I$108="NO"))</f>
        <v/>
      </c>
      <c r="F51" s="38">
        <f>SUMPRODUCT(--ISNUMBER(SEARCH("; "&amp;$A51&amp;";","; "&amp;'Plan de pruebas'!$M$7:$M$108&amp;";")),--('Plan de pruebas'!$I$7:$I$108="PENDIENTE"))</f>
        <v/>
      </c>
      <c r="G51" s="38">
        <f>IF(C51=0,"SIN CUBRIR",IF(E51&gt;0,"CON FALLAS",IF(D51&gt;0,"VERIFICADO (parcial)","PLANIFICADO")))</f>
        <v/>
      </c>
    </row>
    <row r="52" ht="15" customHeight="1" s="26">
      <c r="A52" s="32" t="inlineStr">
        <is>
          <t>RN-13</t>
        </is>
      </c>
      <c r="B52" s="34" t="inlineStr">
        <is>
          <t>No se ve información privada de otros</t>
        </is>
      </c>
      <c r="C52" s="38">
        <f>SUMPRODUCT(--ISNUMBER(SEARCH("; "&amp;$A52&amp;";","; "&amp;'Plan de pruebas'!$M$7:$M$108&amp;";")))</f>
        <v/>
      </c>
      <c r="D52" s="38">
        <f>SUMPRODUCT(--ISNUMBER(SEARCH("; "&amp;$A52&amp;";","; "&amp;'Plan de pruebas'!$M$7:$M$108&amp;";")),--('Plan de pruebas'!$I$7:$I$108="SI"))</f>
        <v/>
      </c>
      <c r="E52" s="38">
        <f>SUMPRODUCT(--ISNUMBER(SEARCH("; "&amp;$A52&amp;";","; "&amp;'Plan de pruebas'!$M$7:$M$108&amp;";")),--('Plan de pruebas'!$I$7:$I$108="NO"))</f>
        <v/>
      </c>
      <c r="F52" s="38">
        <f>SUMPRODUCT(--ISNUMBER(SEARCH("; "&amp;$A52&amp;";","; "&amp;'Plan de pruebas'!$M$7:$M$108&amp;";")),--('Plan de pruebas'!$I$7:$I$108="PENDIENTE"))</f>
        <v/>
      </c>
      <c r="G52" s="38">
        <f>IF(C52=0,"SIN CUBRIR",IF(E52&gt;0,"CON FALLAS",IF(D52&gt;0,"VERIFICADO (parcial)","PLANIFICADO")))</f>
        <v/>
      </c>
    </row>
    <row r="53" ht="15" customHeight="1" s="26">
      <c r="A53" s="32" t="inlineStr">
        <is>
          <t>RN-14</t>
        </is>
      </c>
      <c r="B53" s="34" t="inlineStr">
        <is>
          <t>Logística modelada con tracker</t>
        </is>
      </c>
      <c r="C53" s="38">
        <f>SUMPRODUCT(--ISNUMBER(SEARCH("; "&amp;$A53&amp;";","; "&amp;'Plan de pruebas'!$M$7:$M$108&amp;";")))</f>
        <v/>
      </c>
      <c r="D53" s="38">
        <f>SUMPRODUCT(--ISNUMBER(SEARCH("; "&amp;$A53&amp;";","; "&amp;'Plan de pruebas'!$M$7:$M$108&amp;";")),--('Plan de pruebas'!$I$7:$I$108="SI"))</f>
        <v/>
      </c>
      <c r="E53" s="38">
        <f>SUMPRODUCT(--ISNUMBER(SEARCH("; "&amp;$A53&amp;";","; "&amp;'Plan de pruebas'!$M$7:$M$108&amp;";")),--('Plan de pruebas'!$I$7:$I$108="NO"))</f>
        <v/>
      </c>
      <c r="F53" s="38">
        <f>SUMPRODUCT(--ISNUMBER(SEARCH("; "&amp;$A53&amp;";","; "&amp;'Plan de pruebas'!$M$7:$M$108&amp;";")),--('Plan de pruebas'!$I$7:$I$108="PENDIENTE"))</f>
        <v/>
      </c>
      <c r="G53" s="38">
        <f>IF(C53=0,"SIN CUBRIR",IF(E53&gt;0,"CON FALLAS",IF(D53&gt;0,"VERIFICADO (parcial)","PLANIFICADO")))</f>
        <v/>
      </c>
    </row>
    <row r="54" ht="15" customHeight="1" s="26">
      <c r="A54" s="32" t="inlineStr">
        <is>
          <t>RN-15</t>
        </is>
      </c>
      <c r="B54" s="34" t="inlineStr">
        <is>
          <t>Entregas por módulos y releases mensuales</t>
        </is>
      </c>
      <c r="C54" s="38">
        <f>SUMPRODUCT(--ISNUMBER(SEARCH("; "&amp;$A54&amp;";","; "&amp;'Plan de pruebas'!$M$7:$M$108&amp;";")))</f>
        <v/>
      </c>
      <c r="D54" s="38">
        <f>SUMPRODUCT(--ISNUMBER(SEARCH("; "&amp;$A54&amp;";","; "&amp;'Plan de pruebas'!$M$7:$M$108&amp;";")),--('Plan de pruebas'!$I$7:$I$108="SI"))</f>
        <v/>
      </c>
      <c r="E54" s="38">
        <f>SUMPRODUCT(--ISNUMBER(SEARCH("; "&amp;$A54&amp;";","; "&amp;'Plan de pruebas'!$M$7:$M$108&amp;";")),--('Plan de pruebas'!$I$7:$I$108="NO"))</f>
        <v/>
      </c>
      <c r="F54" s="38">
        <f>SUMPRODUCT(--ISNUMBER(SEARCH("; "&amp;$A54&amp;";","; "&amp;'Plan de pruebas'!$M$7:$M$108&amp;";")),--('Plan de pruebas'!$I$7:$I$108="PENDIENTE"))</f>
        <v/>
      </c>
      <c r="G54" s="38">
        <f>IF(C54=0,"SIN CUBRIR",IF(E54&gt;0,"CON FALLAS",IF(D54&gt;0,"VERIFICADO (parcial)","PLANIFICADO")))</f>
        <v/>
      </c>
    </row>
    <row r="55">
      <c r="A55" s="25" t="n"/>
      <c r="B55" s="25" t="n"/>
      <c r="C55" s="25" t="n"/>
      <c r="D55" s="25" t="n"/>
      <c r="E55" s="25" t="n"/>
      <c r="F55" s="25" t="n"/>
      <c r="G55" s="25" t="n"/>
    </row>
    <row r="56" ht="15" customHeight="1" s="26">
      <c r="A56" s="40" t="inlineStr">
        <is>
          <t>Requisitos sin ningún caso:</t>
        </is>
      </c>
      <c r="B56" s="25" t="n"/>
      <c r="C56" s="40">
        <f>COUNTIF(G5:G54,"SIN CUBRIR")</f>
        <v/>
      </c>
      <c r="D56" s="25" t="n"/>
      <c r="E56" s="25" t="n"/>
      <c r="F56" s="25" t="n"/>
      <c r="G56" s="25" t="n"/>
    </row>
    <row r="57" ht="15" customHeight="1" s="26">
      <c r="A57" s="43" t="inlineStr">
        <is>
          <t>VERIFICADO (parcial): al menos un caso pasó en el prototipo; los casos de la plataforma siguen pendientes.</t>
        </is>
      </c>
      <c r="B57" s="25" t="n"/>
      <c r="C57" s="25" t="n"/>
      <c r="D57" s="25" t="n"/>
      <c r="E57" s="25" t="n"/>
      <c r="F57" s="25" t="n"/>
      <c r="G57" s="2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24" min="1" max="1"/>
    <col width="110" customWidth="1" style="24" min="2" max="2"/>
  </cols>
  <sheetData>
    <row r="1" ht="17.35" customHeight="1" s="26">
      <c r="A1" s="36" t="inlineStr">
        <is>
          <t>Leyenda y criterios del plan</t>
        </is>
      </c>
      <c r="B1" s="25" t="n"/>
    </row>
    <row r="2">
      <c r="A2" s="25" t="n"/>
      <c r="B2" s="25" t="n"/>
    </row>
    <row r="3" ht="15" customHeight="1" s="26">
      <c r="A3" s="37" t="inlineStr">
        <is>
          <t>Columnas</t>
        </is>
      </c>
      <c r="B3" s="25" t="n"/>
    </row>
    <row r="4" ht="30.55" customHeight="1" s="26">
      <c r="A4" s="32" t="inlineStr">
        <is>
          <t>identificador de test</t>
        </is>
      </c>
      <c r="B4" s="34" t="inlineStr">
        <is>
          <t>Prefijo del módulo + número. Los casos del plan del Sprint 2 conservan su ID (QA, FN y MK 001-006; TX 001-005; CL 001-004; LG, AD, BD y DP 001-002; RNF 001-004); los nuevos continúan la numeración. Ojo: un ID como RNF-011 es un caso de prueba, no el requisito RNF-11; el requisito que cubre cada caso está en la columna Trazabilidad.</t>
        </is>
      </c>
    </row>
    <row r="5" ht="20.85" customHeight="1" s="26">
      <c r="A5" s="32" t="inlineStr">
        <is>
          <t>tipo</t>
        </is>
      </c>
      <c r="B5" s="34" t="inlineStr">
        <is>
          <t>unitario (una función aislada) · de integración (varias piezas juntas: store + reglas, o componente + i18n) · del sistema (la aplicación completa o su compilación) · de aceptación (flujo validado con el Product Owner).</t>
        </is>
      </c>
    </row>
    <row r="6" ht="15" customHeight="1" s="26">
      <c r="A6" s="32" t="inlineStr">
        <is>
          <t>responsable</t>
        </is>
      </c>
      <c r="B6" s="34" t="inlineStr">
        <is>
          <t>Asignado al azar y de forma equilibrada entre los tres integrantes (semilla fija para poder reproducir la asignación).</t>
        </is>
      </c>
    </row>
    <row r="7" ht="15" customHeight="1" s="26">
      <c r="A7" s="32" t="inlineStr">
        <is>
          <t>resultado obtenido</t>
        </is>
      </c>
      <c r="B7" s="34" t="inlineStr">
        <is>
          <t>Solo se llena con lo que realmente devolvió la ejecución. 'Pendiente de ejecución' si aún no se corre.</t>
        </is>
      </c>
    </row>
    <row r="8" ht="15" customHeight="1" s="26">
      <c r="A8" s="32" t="inlineStr">
        <is>
          <t>Pasa SI/No</t>
        </is>
      </c>
      <c r="B8" s="34" t="inlineStr">
        <is>
          <t>SI · NO · PENDIENTE (no ejecutado todavía).</t>
        </is>
      </c>
    </row>
    <row r="9" ht="15" customHeight="1" s="26">
      <c r="A9" s="32" t="inlineStr">
        <is>
          <t>fecha del test</t>
        </is>
      </c>
      <c r="B9" s="34" t="inlineStr">
        <is>
          <t>Fecha de la ejecución. Vacía mientras el caso está pendiente.</t>
        </is>
      </c>
    </row>
    <row r="10" ht="20.85" customHeight="1" s="26">
      <c r="A10" s="32" t="inlineStr">
        <is>
          <t>Ámbito</t>
        </is>
      </c>
      <c r="B10" s="34" t="inlineStr">
        <is>
          <t>Prototipo React (demo estática): código que existe hoy en el repositorio. Plataforma (Django + PostgreSQL/PostGIS + AWS): arquitectura objetivo de la wiki, aún no implementada.</t>
        </is>
      </c>
    </row>
    <row r="11" ht="15" customHeight="1" s="26">
      <c r="A11" s="32" t="inlineStr">
        <is>
          <t>Trazabilidad</t>
        </is>
      </c>
      <c r="B11" s="34" t="inlineStr">
        <is>
          <t>IDs de la wiki separados por '; ' (RF, RNF, RN) e historias de Jira (LIT). La hoja Trazabilidad los cuenta.</t>
        </is>
      </c>
    </row>
    <row r="12" ht="15" customHeight="1" s="26">
      <c r="A12" s="37" t="inlineStr">
        <is>
          <t>Prefijos de módulo</t>
        </is>
      </c>
      <c r="B12" s="25" t="n"/>
    </row>
    <row r="13" ht="15" customHeight="1" s="26">
      <c r="A13" s="32" t="inlineStr">
        <is>
          <t>QA</t>
        </is>
      </c>
      <c r="B13" s="34" t="inlineStr">
        <is>
          <t>Usuarios y seguridad (Sprint 1)</t>
        </is>
      </c>
    </row>
    <row r="14" ht="15" customHeight="1" s="26">
      <c r="A14" s="32" t="inlineStr">
        <is>
          <t>FN</t>
        </is>
      </c>
      <c r="B14" s="34" t="inlineStr">
        <is>
          <t>Fincas y trazabilidad EUDR (Sprint 2)</t>
        </is>
      </c>
    </row>
    <row r="15" ht="15" customHeight="1" s="26">
      <c r="A15" s="32" t="inlineStr">
        <is>
          <t>MK</t>
        </is>
      </c>
      <c r="B15" s="34" t="inlineStr">
        <is>
          <t>Marketplace (Sprint 3)</t>
        </is>
      </c>
    </row>
    <row r="16" ht="15" customHeight="1" s="26">
      <c r="A16" s="32" t="inlineStr">
        <is>
          <t>TX</t>
        </is>
      </c>
      <c r="B16" s="34" t="inlineStr">
        <is>
          <t>Transacciones y escrow (Sprint 4)</t>
        </is>
      </c>
    </row>
    <row r="17" ht="15" customHeight="1" s="26">
      <c r="A17" s="32" t="inlineStr">
        <is>
          <t>CL</t>
        </is>
      </c>
      <c r="B17" s="34" t="inlineStr">
        <is>
          <t>Calidad (Sprint 5)</t>
        </is>
      </c>
    </row>
    <row r="18" ht="15" customHeight="1" s="26">
      <c r="A18" s="32" t="inlineStr">
        <is>
          <t>LG</t>
        </is>
      </c>
      <c r="B18" s="34" t="inlineStr">
        <is>
          <t>Logística (tracker) (Sprint 5)</t>
        </is>
      </c>
    </row>
    <row r="19" ht="15" customHeight="1" s="26">
      <c r="A19" s="32" t="inlineStr">
        <is>
          <t>AD</t>
        </is>
      </c>
      <c r="B19" s="34" t="inlineStr">
        <is>
          <t>Administración (Sprint 6)</t>
        </is>
      </c>
    </row>
    <row r="20" ht="15" customHeight="1" s="26">
      <c r="A20" s="32" t="inlineStr">
        <is>
          <t>BD</t>
        </is>
      </c>
      <c r="B20" s="34" t="inlineStr">
        <is>
          <t>Base de datos (Sprint 6)</t>
        </is>
      </c>
    </row>
    <row r="21" ht="15" customHeight="1" s="26">
      <c r="A21" s="32" t="inlineStr">
        <is>
          <t>DP</t>
        </is>
      </c>
      <c r="B21" s="34" t="inlineStr">
        <is>
          <t>Despliegue y compilación (Sprint 6)</t>
        </is>
      </c>
    </row>
    <row r="22" ht="15" customHeight="1" s="26">
      <c r="A22" s="32" t="inlineStr">
        <is>
          <t>RNF</t>
        </is>
      </c>
      <c r="B22" s="34" t="inlineStr">
        <is>
          <t>Requisitos no funcionales (Sprint 6)</t>
        </is>
      </c>
    </row>
    <row r="23" ht="15" customHeight="1" s="26">
      <c r="A23" s="32" t="inlineStr">
        <is>
          <t>AC</t>
        </is>
      </c>
      <c r="B23" s="34" t="inlineStr">
        <is>
          <t>Aceptación (flujo completo) (Sprint 1-6)</t>
        </is>
      </c>
    </row>
    <row r="24" ht="15" customHeight="1" s="26">
      <c r="A24" s="37" t="inlineStr">
        <is>
          <t>Cómo se ejecutó</t>
        </is>
      </c>
      <c r="B24" s="25" t="n"/>
    </row>
    <row r="25" ht="20.85" customHeight="1" s="26">
      <c r="A25" s="32" t="inlineStr">
        <is>
          <t>Casos automatizados</t>
        </is>
      </c>
      <c r="B25" s="34" t="inlineStr">
        <is>
          <t>35 casos del prototipo se ejecutaron el 29/09/2026 con `node pruebas/ejecutar.mjs`, que escribe pruebas/resultados.json; `python3 pruebas/generar_excel.py` vuelve a llenar este Excel. El responsable asignado debe re-ejecutarlos y confirmar.</t>
        </is>
      </c>
    </row>
    <row r="26" ht="15" customHeight="1" s="26">
      <c r="A26" s="32" t="inlineStr">
        <is>
          <t>Casos manuales</t>
        </is>
      </c>
      <c r="B26" s="34" t="inlineStr">
        <is>
          <t>Los casos del sistema y de aceptación del prototipo se ejecutan con `npm run dev`, recorriendo la interfaz, y se documentan con pantallazos.</t>
        </is>
      </c>
    </row>
    <row r="27" ht="15" customHeight="1" s="26">
      <c r="A27" s="32" t="inlineStr">
        <is>
          <t>Casos de la plataforma</t>
        </is>
      </c>
      <c r="B27" s="34" t="inlineStr">
        <is>
          <t>Se ejecutan en el sprint del módulo cuando exista el backend Django + PostgreSQL/PostGIS y la infraestructura AWS.</t>
        </is>
      </c>
    </row>
    <row r="28" ht="15" customHeight="1" s="26">
      <c r="A28" s="37" t="inlineStr">
        <is>
          <t>Supuestos</t>
        </is>
      </c>
      <c r="B28" s="25" t="n"/>
    </row>
    <row r="29" ht="15" customHeight="1" s="26">
      <c r="A29" s="32" t="inlineStr">
        <is>
          <t>Comisión mínima</t>
        </is>
      </c>
      <c r="B29" s="34" t="inlineStr">
        <is>
          <t>25 € es un VALOR DE EJEMPLO: el cliente no ha definido la cifra (lo mismo en la interfaz del prototipo).</t>
        </is>
      </c>
    </row>
    <row r="30" ht="15" customHeight="1" s="26">
      <c r="A30" s="32" t="inlineStr">
        <is>
          <t>Rendimiento</t>
        </is>
      </c>
      <c r="B30" s="34" t="inlineStr">
        <is>
          <t>El umbral de 2 s (p95) de RNF-013 es una propuesta del equipo; la wiki solo dice 'tiempos aceptables'.</t>
        </is>
      </c>
    </row>
    <row r="31" ht="15" customHeight="1" s="26">
      <c r="A31" s="32" t="inlineStr">
        <is>
          <t>Parámetros de calidad</t>
        </is>
      </c>
      <c r="B31" s="34" t="inlineStr">
        <is>
          <t>Los parámetros del laboratorio de la universidad (RN-9) aún no están definidos; CL-002 y CL-009 dependen de ellos.</t>
        </is>
      </c>
    </row>
    <row r="32" ht="20.85" customHeight="1" s="26">
      <c r="A32" s="32" t="inlineStr">
        <is>
          <t>Fuentes</t>
        </is>
      </c>
      <c r="B32" s="34" t="inlineStr">
        <is>
          <t>Wiki: github.com/Jenifrutica/ritech-marketplace/wiki (Requisitos, Arquitectura, Product Backlog, Sprints). Plan del Sprint 2: deliverables/sprint-2/Entregable-B-Plan-de-Pruebas-Sprint2.xlsx.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Audiovisuales Ucc Pasto</dc:creator>
  <dc:language xmlns:dc="http://purl.org/dc/elements/1.1/">en-US</dc:language>
  <dcterms:created xmlns:dcterms="http://purl.org/dc/terms/" xmlns:xsi="http://www.w3.org/2001/XMLSchema-instance" xsi:type="dcterms:W3CDTF">2026-09-23T19:44:35Z</dcterms:created>
  <dcterms:modified xmlns:dcterms="http://purl.org/dc/terms/" xmlns:xsi="http://www.w3.org/2001/XMLSchema-instance" xsi:type="dcterms:W3CDTF">2026-09-30T14:19:43Z</dcterms:modified>
  <cp:lastModifiedBy>Audiovisuales Ucc Pasto</cp:lastModifiedBy>
  <cp:revision>0</cp:revision>
</cp:coreProperties>
</file>