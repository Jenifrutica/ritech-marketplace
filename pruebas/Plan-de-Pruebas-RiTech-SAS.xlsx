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de pruebas" sheetId="1" state="visible" r:id="rId3"/>
    <sheet name="Resumen" sheetId="2" state="visible" r:id="rId4"/>
    <sheet name="Trazabilidad" sheetId="3" state="visible" r:id="rId5"/>
    <sheet name="Leyenda" sheetId="4" state="visible" r:id="rId6"/>
  </sheets>
  <definedNames>
    <definedName function="false" hidden="false" localSheetId="0" name="_xlnm.Print_Titles" vbProcedure="false">'Plan de pruebas'!$6:$6</definedName>
    <definedName function="false" hidden="true" localSheetId="0" name="_xlnm._FilterDatabase" vbProcedure="false">'Plan de pruebas'!$A$6:$N$108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Plan de pruebas</author>
  </authors>
  <commentList>
    <comment ref="C6" authorId="0">
      <text>
        <r>
          <rPr>
            <sz val="10"/>
            <rFont val="Arial"/>
            <family val="2"/>
          </rPr>
          <t xml:space="preserve">Asignación aleatoria y equilibrada entre los 3 integrantes (semilla 20260929 en pruebas/generar_excel.py).</t>
        </r>
      </text>
    </comment>
    <comment ref="I6" authorId="0">
      <text>
        <r>
          <rPr>
            <sz val="10"/>
            <rFont val="Arial"/>
            <family val="2"/>
          </rPr>
          <t xml:space="preserve">SI / NO según el resultado. PENDIENTE: aún no se ejecuta (prueba manual o módulo de la plataforma sin implementar).</t>
        </r>
      </text>
    </comment>
  </commentList>
</comments>
</file>

<file path=xl/sharedStrings.xml><?xml version="1.0" encoding="utf-8"?>
<sst xmlns="http://schemas.openxmlformats.org/spreadsheetml/2006/main" count="1574" uniqueCount="836">
  <si>
    <t xml:space="preserve">Calidad de Software · Las instancias Team</t>
  </si>
  <si>
    <t xml:space="preserve">Plan de pruebas de calidad Aplicación RiTech SAS Marketplace</t>
  </si>
  <si>
    <t xml:space="preserve">Marketplace de café y cacao de Nariño para compradores de la Unión Europea</t>
  </si>
  <si>
    <t xml:space="preserve">Versión del plan: 29/09/2026 · leyenda en la hoja «Leyenda»</t>
  </si>
  <si>
    <t xml:space="preserve">Integrantes del equipo de trabajo:</t>
  </si>
  <si>
    <t xml:space="preserve">Nicolas Diaz</t>
  </si>
  <si>
    <t xml:space="preserve">Jenifer Urbano</t>
  </si>
  <si>
    <t xml:space="preserve">Juan Camilo Lopez</t>
  </si>
  <si>
    <t xml:space="preserve">identificador de test</t>
  </si>
  <si>
    <t xml:space="preserve">tipo (unitario, de integracion,  del sistema …)</t>
  </si>
  <si>
    <t xml:space="preserve">responsable</t>
  </si>
  <si>
    <t xml:space="preserve">descripcion </t>
  </si>
  <si>
    <t xml:space="preserve">Origen del codigo: Nombre de la funcion/metodo/modulo/programa/clase</t>
  </si>
  <si>
    <t xml:space="preserve">datos de entrada</t>
  </si>
  <si>
    <t xml:space="preserve">resultado esperado</t>
  </si>
  <si>
    <t xml:space="preserve">resultado obtenido</t>
  </si>
  <si>
    <t xml:space="preserve">Pasa SI/No</t>
  </si>
  <si>
    <t xml:space="preserve">fecha del test</t>
  </si>
  <si>
    <t xml:space="preserve">Siguiente paso</t>
  </si>
  <si>
    <t xml:space="preserve">Ámbito</t>
  </si>
  <si>
    <t xml:space="preserve">Trazabilidad (RF / RNF / RN / historia)</t>
  </si>
  <si>
    <t xml:space="preserve">Sprint</t>
  </si>
  <si>
    <t xml:space="preserve">QA-001</t>
  </si>
  <si>
    <t xml:space="preserve">unitario</t>
  </si>
  <si>
    <t xml:space="preserve">Registro de usuario con rol asignado</t>
  </si>
  <si>
    <t xml:space="preserve">usuarios/models.py, UsuarioSerializer</t>
  </si>
  <si>
    <t xml:space="preserve">nombre, identificación, email, firma, rol=comprador</t>
  </si>
  <si>
    <t xml:space="preserve">Usuario creado con rol correcto y estado ACTIVO</t>
  </si>
  <si>
    <t xml:space="preserve">Pendiente de ejecución</t>
  </si>
  <si>
    <t xml:space="preserve">PENDIENTE</t>
  </si>
  <si>
    <t xml:space="preserve">Ejecutar en el Sprint 1 al implementar el módulo en Django (caso del plan del Sprint 2).</t>
  </si>
  <si>
    <t xml:space="preserve">Plataforma (Django + PostgreSQL/PostGIS + AWS)</t>
  </si>
  <si>
    <t xml:space="preserve">RF-01; LIT-64</t>
  </si>
  <si>
    <t xml:space="preserve">1</t>
  </si>
  <si>
    <t xml:space="preserve">QA-002</t>
  </si>
  <si>
    <t xml:space="preserve">Login correcto y rechazo de credenciales inválidas</t>
  </si>
  <si>
    <t xml:space="preserve">usuarios/services.py, autenticar()</t>
  </si>
  <si>
    <t xml:space="preserve">email/password válidos e inválidos</t>
  </si>
  <si>
    <t xml:space="preserve">Acceso con credenciales válidas; 401 con inválidas</t>
  </si>
  <si>
    <t xml:space="preserve">QA-003</t>
  </si>
  <si>
    <t xml:space="preserve">Autorización por rol (acceso denegado)</t>
  </si>
  <si>
    <t xml:space="preserve">usuarios/permissions.py</t>
  </si>
  <si>
    <t xml:space="preserve">comprador intenta acceder a endpoint de admin</t>
  </si>
  <si>
    <t xml:space="preserve">HTTP 403; no ejecuta la acción</t>
  </si>
  <si>
    <t xml:space="preserve">RF-01; RNF-05; LIT-64</t>
  </si>
  <si>
    <t xml:space="preserve">QA-004</t>
  </si>
  <si>
    <t xml:space="preserve">Bloqueo/baneo de usuario por fraude</t>
  </si>
  <si>
    <t xml:space="preserve">usuarios/services.py, bloquear()</t>
  </si>
  <si>
    <t xml:space="preserve">usuario activo + motivo de fraude</t>
  </si>
  <si>
    <t xml:space="preserve">Usuario pasa a BLOQUEADO y no puede iniciar sesión</t>
  </si>
  <si>
    <t xml:space="preserve">RF-04; RN-12; LIT-67</t>
  </si>
  <si>
    <t xml:space="preserve">QA-005</t>
  </si>
  <si>
    <t xml:space="preserve">de integración</t>
  </si>
  <si>
    <t xml:space="preserve">Privacidad: un usuario no ve datos privados de otro</t>
  </si>
  <si>
    <t xml:space="preserve">fincas/views.py, marketplace/views.py</t>
  </si>
  <si>
    <t xml:space="preserve">usuario A solicita ubicación de finca de usuario B</t>
  </si>
  <si>
    <t xml:space="preserve">La ubicación permanece oculta (RN-13)</t>
  </si>
  <si>
    <t xml:space="preserve">RF-03; RN-13; RNF-09; LIT-66</t>
  </si>
  <si>
    <t xml:space="preserve">QA-006</t>
  </si>
  <si>
    <t xml:space="preserve">Verificación de identidad (identificación + firma)</t>
  </si>
  <si>
    <t xml:space="preserve">usuarios/services.py, verificar_identidad()</t>
  </si>
  <si>
    <t xml:space="preserve">identificación y firma registradas una sola vez</t>
  </si>
  <si>
    <t xml:space="preserve">Identidad verificada; habilita operaciones</t>
  </si>
  <si>
    <t xml:space="preserve">RF-02; RN-5; LIT-65</t>
  </si>
  <si>
    <t xml:space="preserve">QA-007</t>
  </si>
  <si>
    <t xml:space="preserve">Bloquear y desbloquear un usuario por intento de fraude.</t>
  </si>
  <si>
    <t xml:space="preserve">src/store/DemoStore.tsx, reducer: setUserStatus</t>
  </si>
  <si>
    <t xml:space="preserve">administrador bloquea y luego desbloquea a u-buyer2</t>
  </si>
  <si>
    <t xml:space="preserve">Estado 'bloqueado' y luego 'activo', cada acción con su entrada de auditoría (RN-12)</t>
  </si>
  <si>
    <t xml:space="preserve">Bloquear → "blocked" (auditoría "block"); desbloquear → "active" (auditoría "unblock")</t>
  </si>
  <si>
    <t xml:space="preserve">SI</t>
  </si>
  <si>
    <t xml:space="preserve">Ejecutado automáticamente (pruebas/ejecutar.mjs). El responsable debe re-ejecutarlo y confirmar.</t>
  </si>
  <si>
    <t xml:space="preserve">Prototipo React (demo estática)</t>
  </si>
  <si>
    <t xml:space="preserve">RF-04; RN-12; RNF-11; LIT-67</t>
  </si>
  <si>
    <t xml:space="preserve">QA-008</t>
  </si>
  <si>
    <t xml:space="preserve">Verificar la identidad de un usuario.</t>
  </si>
  <si>
    <t xml:space="preserve">src/store/DemoStore.tsx, reducer: verifyUser</t>
  </si>
  <si>
    <t xml:space="preserve">administrador verifica a u-buyer4 (no verificado)</t>
  </si>
  <si>
    <t xml:space="preserve">El usuario queda verificado y la acción queda auditada (RF-02)</t>
  </si>
  <si>
    <t xml:space="preserve">u-buyer4 verificado: false → true; auditoría "verify"</t>
  </si>
  <si>
    <t xml:space="preserve">RF-02; LIT-65</t>
  </si>
  <si>
    <t xml:space="preserve">QA-009</t>
  </si>
  <si>
    <t xml:space="preserve">Comprobar que la tarjeta de lote del catálogo no revela la finca ni su ubicación.</t>
  </si>
  <si>
    <t xml:space="preserve">src/components/common/LotCard.tsx + I18nProvider (renderToString)</t>
  </si>
  <si>
    <t xml:space="preserve">los 9 lotes de ejemplo y un lote de control con la finca en el texto</t>
  </si>
  <si>
    <t xml:space="preserve">Ninguna tarjeta muestra nombre de finca, municipio, altitud ni coordenadas (RN-13); el control sí se detecta</t>
  </si>
  <si>
    <t xml:space="preserve">9 tarjetas renderizadas; ninguna muestra nombre de finca, municipio, altitud ni coordenadas; control positivo detectado: sí</t>
  </si>
  <si>
    <t xml:space="preserve">QA-010</t>
  </si>
  <si>
    <t xml:space="preserve">del sistema</t>
  </si>
  <si>
    <t xml:space="preserve">Ingresar con cada uno de los 6 roles y revisar su menú.</t>
  </si>
  <si>
    <t xml:space="preserve">src/pages/Login.tsx, src/components/layout/roleNav.ts, AppLayout</t>
  </si>
  <si>
    <t xml:space="preserve">comprador, vendedor, propietario, transportador, admin. sistema, admin. técnico</t>
  </si>
  <si>
    <t xml:space="preserve">Cada rol entra a su panel y ve solo su navegación (RF-01)</t>
  </si>
  <si>
    <t xml:space="preserve">Ejecutar manualmente sobre el prototipo (npm run dev) y adjuntar pantallazos como evidencia.</t>
  </si>
  <si>
    <t xml:space="preserve">QA-011</t>
  </si>
  <si>
    <t xml:space="preserve">Operar la negociación como comprador bloqueado.</t>
  </si>
  <si>
    <t xml:space="preserve">src/pages/shared/Negotiations.tsx</t>
  </si>
  <si>
    <t xml:space="preserve">negociación abierta con u-buyer3 (bloqueado)</t>
  </si>
  <si>
    <t xml:space="preserve">Chat, contraoferta y acuerdo deshabilitados, con aviso visible en texto e ícono (RN-12)</t>
  </si>
  <si>
    <t xml:space="preserve">QA-012</t>
  </si>
  <si>
    <t xml:space="preserve">Revisar la privacidad en catálogo, detalle de lote y negociación.</t>
  </si>
  <si>
    <t xml:space="preserve">src/pages/buyer/Buyer.tsx, src/pages/shared/Negotiations.tsx</t>
  </si>
  <si>
    <t xml:space="preserve">lote NAR-2401 visto desde catálogo y desde una negociación activa</t>
  </si>
  <si>
    <t xml:space="preserve">Catálogo y detalle solo muestran 'Nariño'; finca, municipio y altitud aparecen únicamente dentro de la negociación (RN-13)</t>
  </si>
  <si>
    <t xml:space="preserve">QA-013</t>
  </si>
  <si>
    <t xml:space="preserve">Impedir modificar nombre, identificación y firma después del registro.</t>
  </si>
  <si>
    <t xml:space="preserve">usuarios/serializers.py, UsuarioSerializer</t>
  </si>
  <si>
    <t xml:space="preserve">PATCH de identificación y firma de un usuario verificado</t>
  </si>
  <si>
    <t xml:space="preserve">Se rechaza la edición: estos datos se ingresan una sola vez (RN-5)</t>
  </si>
  <si>
    <t xml:space="preserve">Ejecutar en el Sprint 1 al implementar el módulo en la plataforma.</t>
  </si>
  <si>
    <t xml:space="preserve">FN-001</t>
  </si>
  <si>
    <t xml:space="preserve">Registro de finca con polígono PostGIS</t>
  </si>
  <si>
    <t xml:space="preserve">fincas/models.py, FincaService</t>
  </si>
  <si>
    <t xml:space="preserve">polígono GeoJSON + área</t>
  </si>
  <si>
    <t xml:space="preserve">Finca creada con geometry(Polygon,4326) válida</t>
  </si>
  <si>
    <t xml:space="preserve">Ejecutar en el Sprint 2 al implementar el módulo en Django (caso del plan del Sprint 2).</t>
  </si>
  <si>
    <t xml:space="preserve">RF-05; LIT-68</t>
  </si>
  <si>
    <t xml:space="preserve">2</t>
  </si>
  <si>
    <t xml:space="preserve">FN-002</t>
  </si>
  <si>
    <t xml:space="preserve">Validación de área de la finca</t>
  </si>
  <si>
    <t xml:space="preserve">fincas/validators.py</t>
  </si>
  <si>
    <t xml:space="preserve">área negativa / cero / válida</t>
  </si>
  <si>
    <t xml:space="preserve">Rechaza áreas inválidas; acepta válidas</t>
  </si>
  <si>
    <t xml:space="preserve">RF-05; RNF-02; LIT-68</t>
  </si>
  <si>
    <t xml:space="preserve">FN-003</t>
  </si>
  <si>
    <t xml:space="preserve">Validación de origen Colombia/Nariño</t>
  </si>
  <si>
    <t xml:space="preserve">coordenadas en Ecuador y en Nariño</t>
  </si>
  <si>
    <t xml:space="preserve">Rechaza Ecuador (RN-10); acepta Nariño</t>
  </si>
  <si>
    <t xml:space="preserve">RF-05; RN-2; RN-10; LIT-68</t>
  </si>
  <si>
    <t xml:space="preserve">FN-004</t>
  </si>
  <si>
    <t xml:space="preserve">Carga de certificado con vigencia</t>
  </si>
  <si>
    <t xml:space="preserve">fincas/services.py, CertificadoService</t>
  </si>
  <si>
    <t xml:space="preserve">archivo + tipo + fecha de vigencia</t>
  </si>
  <si>
    <t xml:space="preserve">Certificado guardado con estado de validación</t>
  </si>
  <si>
    <t xml:space="preserve">RF-06; RN-3; LIT-69</t>
  </si>
  <si>
    <t xml:space="preserve">FN-005</t>
  </si>
  <si>
    <t xml:space="preserve">Estado EUDR bloqueado por certificado vencido</t>
  </si>
  <si>
    <t xml:space="preserve">fincas/services.py, calcular_eudr()</t>
  </si>
  <si>
    <t xml:space="preserve">finca con certificado vencido</t>
  </si>
  <si>
    <t xml:space="preserve">estado_eudr = BLOQUEADA; no permite publicar</t>
  </si>
  <si>
    <t xml:space="preserve">RF-06; RF-07; LIT-70</t>
  </si>
  <si>
    <t xml:space="preserve">FN-006</t>
  </si>
  <si>
    <t xml:space="preserve">Registro del perfil del vendedor</t>
  </si>
  <si>
    <t xml:space="preserve">fincas/models.py, PerfilVendedor</t>
  </si>
  <si>
    <t xml:space="preserve">capacidad, producto, variedad, calidad</t>
  </si>
  <si>
    <t xml:space="preserve">Perfil creado y reutilizable</t>
  </si>
  <si>
    <t xml:space="preserve">RF-08; LIT-71</t>
  </si>
  <si>
    <t xml:space="preserve">FN-007</t>
  </si>
  <si>
    <t xml:space="preserve">Registrar una finca nueva con su polígono.</t>
  </si>
  <si>
    <t xml:space="preserve">src/store/DemoStore.tsx, reducer: registerFarm</t>
  </si>
  <si>
    <t xml:space="preserve">Finca Prueba, Sandoná, 1.800 m, 3,5 ha, polígono de 3 vértices</t>
  </si>
  <si>
    <t xml:space="preserve">Finca creada con su polígono y área, en estado EUDR 'pendiente' hasta validar certificados</t>
  </si>
  <si>
    <t xml:space="preserve">Finca "Finca Prueba" creada con 3 vértices, 3.5 ha, estado EUDR "pending"</t>
  </si>
  <si>
    <t xml:space="preserve">RF-05; RF-07; LIT-68</t>
  </si>
  <si>
    <t xml:space="preserve">FN-008</t>
  </si>
  <si>
    <t xml:space="preserve">Habilitar la finca (EUDR) al validar origen y no deforestación.</t>
  </si>
  <si>
    <t xml:space="preserve">src/store/DemoStore.tsx, reducer: uploadCertificate + reviewCertificate (recomputeEudr)</t>
  </si>
  <si>
    <t xml:space="preserve">certificados de origen y no deforestación vigentes hasta 2027</t>
  </si>
  <si>
    <t xml:space="preserve">Cargados sin validar: 'pendiente'; validados ambos: 'habilitada' (RF-07)</t>
  </si>
  <si>
    <t xml:space="preserve">Con certificados cargados sin validar: "pending"; tras validar origen y no deforestación: "enabled"</t>
  </si>
  <si>
    <t xml:space="preserve">RF-06; RF-07; RN-2; RN-3; LIT-69; LIT-70</t>
  </si>
  <si>
    <t xml:space="preserve">FN-009</t>
  </si>
  <si>
    <t xml:space="preserve">Mantener la finca sin habilitar si un certificado obligatorio se rechaza.</t>
  </si>
  <si>
    <t xml:space="preserve">src/store/DemoStore.tsx, reducer: reviewCertificate (recomputeEudr)</t>
  </si>
  <si>
    <t xml:space="preserve">origen validado y no deforestación rechazado</t>
  </si>
  <si>
    <t xml:space="preserve">La finca no queda habilitada para publicar</t>
  </si>
  <si>
    <t xml:space="preserve">Origen validado + no deforestación rechazado → EUDR "pending"</t>
  </si>
  <si>
    <t xml:space="preserve">FN-010</t>
  </si>
  <si>
    <t xml:space="preserve">No habilitar una finca con certificados vencidos.</t>
  </si>
  <si>
    <t xml:space="preserve">certificados validados con vigencia 31/01/2026 y 31/03/2026 (vencidos)</t>
  </si>
  <si>
    <t xml:space="preserve">La finca no queda habilitada: los certificados deben tener vigencia (RF-06; mismo criterio que FN-005)</t>
  </si>
  <si>
    <t xml:space="preserve">Certificados vencidos (31/01/2026 y 31/03/2026) validados → EUDR "enabled"; la función recomputeEudr no consulta validUntil</t>
  </si>
  <si>
    <t xml:space="preserve">NO</t>
  </si>
  <si>
    <t xml:space="preserve">Defecto: recomputeEudr() no compara validUntil con la fecha actual. Corregir para que un certificado vencido deje la finca 'pendiente' o 'bloqueada' y volver a ejecutar FN-010 y FN-005.</t>
  </si>
  <si>
    <t xml:space="preserve">RF-06; RF-07; LIT-69; LIT-70</t>
  </si>
  <si>
    <t xml:space="preserve">FN-011</t>
  </si>
  <si>
    <t xml:space="preserve">Registrar una finca con datos inválidos en el formulario por pasos.</t>
  </si>
  <si>
    <t xml:space="preserve">src/pages/owner/Owner.tsx, registro de finca</t>
  </si>
  <si>
    <t xml:space="preserve">nombre vacío; área 0; altitud vacía; polígono con 2 vértices; latitud 95</t>
  </si>
  <si>
    <t xml:space="preserve">Cada campo muestra su error asociado y no deja avanzar ni guardar (RNF-02)</t>
  </si>
  <si>
    <t xml:space="preserve">FN-012</t>
  </si>
  <si>
    <t xml:space="preserve">Cargar un certificado con el componente de arrastrar y soltar.</t>
  </si>
  <si>
    <t xml:space="preserve">src/pages/owner/Owner.tsx, Dropzone</t>
  </si>
  <si>
    <t xml:space="preserve">PDF de origen con vigencia futura; intento con fecha pasada</t>
  </si>
  <si>
    <t xml:space="preserve">El certificado queda 'pendiente de validación'; la fecha pasada no se acepta (RF-06)</t>
  </si>
  <si>
    <t xml:space="preserve">MK-001</t>
  </si>
  <si>
    <t xml:space="preserve">Validación de cantidad mínima de lote (100 kg)</t>
  </si>
  <si>
    <t xml:space="preserve">marketplace/validators.py</t>
  </si>
  <si>
    <t xml:space="preserve">99 kg, 100 kg, 150 kg</t>
  </si>
  <si>
    <t xml:space="preserve">Rechaza &lt; 100 kg (RN-1); acepta &gt;= 100 kg</t>
  </si>
  <si>
    <t xml:space="preserve">Ejecutar en el Sprint 3 al implementar el módulo en Django (caso del plan del Sprint 2).</t>
  </si>
  <si>
    <t xml:space="preserve">RF-09; RN-1; LIT-72</t>
  </si>
  <si>
    <t xml:space="preserve">3</t>
  </si>
  <si>
    <t xml:space="preserve">MK-002</t>
  </si>
  <si>
    <t xml:space="preserve">Modalidad de precio fijo / a acordar</t>
  </si>
  <si>
    <t xml:space="preserve">marketplace/models.py, Lote</t>
  </si>
  <si>
    <t xml:space="preserve">precio fijo y precio 'a acordar'</t>
  </si>
  <si>
    <t xml:space="preserve">Lote creado con la modalidad correcta (RN-4)</t>
  </si>
  <si>
    <t xml:space="preserve">RF-09; RN-4; LIT-72</t>
  </si>
  <si>
    <t xml:space="preserve">MK-003</t>
  </si>
  <si>
    <t xml:space="preserve">Bloqueo de publicación sin certificados válidos</t>
  </si>
  <si>
    <t xml:space="preserve">marketplace/services.py</t>
  </si>
  <si>
    <t xml:space="preserve">vendedor con finca BLOQUEADA</t>
  </si>
  <si>
    <t xml:space="preserve">No permite publicar el lote</t>
  </si>
  <si>
    <t xml:space="preserve">RF-07; RF-09; LIT-72</t>
  </si>
  <si>
    <t xml:space="preserve">MK-004</t>
  </si>
  <si>
    <t xml:space="preserve">Búsqueda y filtros de lotes</t>
  </si>
  <si>
    <t xml:space="preserve">marketplace/views.py, filtrar()</t>
  </si>
  <si>
    <t xml:space="preserve">producto=café, origen=Nariño, cantidad&gt;=100</t>
  </si>
  <si>
    <t xml:space="preserve">Devuelve solo lotes que cumplen y sin datos privados</t>
  </si>
  <si>
    <t xml:space="preserve">RF-10; RN-13; RNF-07; LIT-73</t>
  </si>
  <si>
    <t xml:space="preserve">MK-005</t>
  </si>
  <si>
    <t xml:space="preserve">Chat de negociación comprador-vendedor</t>
  </si>
  <si>
    <t xml:space="preserve">marketplace/services.py, NegociacionService</t>
  </si>
  <si>
    <t xml:space="preserve">mensajes entre comprador y vendedor</t>
  </si>
  <si>
    <t xml:space="preserve">Mensajes almacenados en orden dentro de la negociación</t>
  </si>
  <si>
    <t xml:space="preserve">RF-11; LIT-74</t>
  </si>
  <si>
    <t xml:space="preserve">MK-006</t>
  </si>
  <si>
    <t xml:space="preserve">Transacción inmutable tras el acuerdo</t>
  </si>
  <si>
    <t xml:space="preserve">marketplace/services.py, crear_transaccion()</t>
  </si>
  <si>
    <t xml:space="preserve">intento de editar transacción acordada</t>
  </si>
  <si>
    <t xml:space="preserve">Cambio rechazado (RN-6); requiere disputa</t>
  </si>
  <si>
    <t xml:space="preserve">RF-12; RN-6; RNF-03; LIT-75</t>
  </si>
  <si>
    <t xml:space="preserve">MK-007</t>
  </si>
  <si>
    <t xml:space="preserve">Validar la cantidad mínima de un lote en el límite de 100 kg.</t>
  </si>
  <si>
    <t xml:space="preserve">src/domain/rules.ts, validateQuantity()</t>
  </si>
  <si>
    <t xml:space="preserve">99 kg, 100 kg y 150 kg</t>
  </si>
  <si>
    <t xml:space="preserve">99 kg se rechaza por mínimo (RN-1); 100 kg y 150 kg se aceptan</t>
  </si>
  <si>
    <t xml:space="preserve">99 kg → "min"; 100 kg → null; 150 kg → null</t>
  </si>
  <si>
    <t xml:space="preserve">MK-008</t>
  </si>
  <si>
    <t xml:space="preserve">Validar cantidad vacía, no numérica y mayor que la disponible del lote.</t>
  </si>
  <si>
    <t xml:space="preserve">vacío, NaN, 600 kg con 500 disponibles, 500 kg con 500 disponibles</t>
  </si>
  <si>
    <t xml:space="preserve">Vacío y NaN: campo requerido; 600 &gt; 500: excede lo disponible; 500 = 500: válido</t>
  </si>
  <si>
    <t xml:space="preserve">vacío → "required"; NaN → "required"; 600 con máx. 500 → "exceeds"; 500 con máx. 500 → null</t>
  </si>
  <si>
    <t xml:space="preserve">RF-09; RNF-02; LIT-72</t>
  </si>
  <si>
    <t xml:space="preserve">MK-009</t>
  </si>
  <si>
    <t xml:space="preserve">Publicar un lote y registrarlo en la auditoría.</t>
  </si>
  <si>
    <t xml:space="preserve">src/store/DemoStore.tsx, reducer: publishLot</t>
  </si>
  <si>
    <t xml:space="preserve">vendedor publica 300 kg de Castillo a 7 €/kg (negociable)</t>
  </si>
  <si>
    <t xml:space="preserve">Lote nuevo con código consecutivo NAR-n, estado publicado y entrada de auditoría del vendedor</t>
  </si>
  <si>
    <t xml:space="preserve">Lote NAR-2410 (published); lotes 9 → 10; auditoría "publish" por u-seller</t>
  </si>
  <si>
    <t xml:space="preserve">RF-09; RNF-11; LIT-72</t>
  </si>
  <si>
    <t xml:space="preserve">MK-010</t>
  </si>
  <si>
    <t xml:space="preserve">Iniciar una negociación sobre un lote publicado.</t>
  </si>
  <si>
    <t xml:space="preserve">src/store/DemoStore.tsx, reducer: startNegotiation</t>
  </si>
  <si>
    <t xml:space="preserve">comprador abre negociación del lote publicado</t>
  </si>
  <si>
    <t xml:space="preserve">Negociación abierta con la oferta inicial igual al precio y cantidad del lote; el lote pasa a 'en negociación'</t>
  </si>
  <si>
    <t xml:space="preserve">Negociación open; oferta inicial 7 €/kg × 300 kg; lote pasa a "negotiating"</t>
  </si>
  <si>
    <t xml:space="preserve">MK-011</t>
  </si>
  <si>
    <t xml:space="preserve">Enviar mensajes en el chat de negociación y conservar su orden.</t>
  </si>
  <si>
    <t xml:space="preserve">src/store/DemoStore.tsx, reducer: sendMessage</t>
  </si>
  <si>
    <t xml:space="preserve">3 mensajes alternados comprador / vendedor</t>
  </si>
  <si>
    <t xml:space="preserve">Los 3 mensajes quedan en la negociación en el orden en que se enviaron</t>
  </si>
  <si>
    <t xml:space="preserve">3 mensajes en orden: u-buyer, u-seller, u-buyer</t>
  </si>
  <si>
    <t xml:space="preserve">MK-012</t>
  </si>
  <si>
    <t xml:space="preserve">Cerrar el acuerdo y crear la transacción de venta.</t>
  </si>
  <si>
    <t xml:space="preserve">src/store/DemoStore.tsx, reducer: updateOffer + agree</t>
  </si>
  <si>
    <t xml:space="preserve">contraoferta 6,50 €/kg × 300 kg y acuerdo</t>
  </si>
  <si>
    <t xml:space="preserve">Transacción con los valores acordados, etapa 'acordada' y dinero bloqueado; negociación 'acordada'; lote 'vendido'</t>
  </si>
  <si>
    <t xml:space="preserve">Transacción TX-0959: 300 kg a 6.5 €/kg, etapa "agreed", escrow "held"; negociación "agreed"; lote "sold"</t>
  </si>
  <si>
    <t xml:space="preserve">RF-12; RF-13; RN-4; LIT-75</t>
  </si>
  <si>
    <t xml:space="preserve">MK-013</t>
  </si>
  <si>
    <t xml:space="preserve">Intentar modificar una transacción ya acordada.</t>
  </si>
  <si>
    <t xml:space="preserve">nueva oferta 1 €/kg × 100 kg y segundo acuerdo sobre la misma negociación</t>
  </si>
  <si>
    <t xml:space="preserve">No cambia ningún valor de la transacción ni se crea una segunda (RN-6, inmutable)</t>
  </si>
  <si>
    <t xml:space="preserve">Tras intentar cambiar la oferta a 1 €/kg × 100 kg: transacción sigue en 6.5 €/kg × 300 kg; segunda transacción creada: no</t>
  </si>
  <si>
    <t xml:space="preserve">MK-014</t>
  </si>
  <si>
    <t xml:space="preserve">Publicar un lote desde el formulario del vendedor.</t>
  </si>
  <si>
    <t xml:space="preserve">src/pages/seller/Seller.tsx, publicar lote</t>
  </si>
  <si>
    <t xml:space="preserve">99 kg; precio vacío; luego 150 kg a 8 €/kg</t>
  </si>
  <si>
    <t xml:space="preserve">Con 99 kg o sin precio muestra el error y no publica; con datos válidos publica. Solo se ofrecen fincas habilitadas EUDR</t>
  </si>
  <si>
    <t xml:space="preserve">RF-07; RF-09; RN-1; RNF-02; LIT-72</t>
  </si>
  <si>
    <t xml:space="preserve">MK-015</t>
  </si>
  <si>
    <t xml:space="preserve">Filtrar el catálogo de lotes, un filtro a la vez y luego combinados (pulsar 'Limpiar' entre pasos).</t>
  </si>
  <si>
    <t xml:space="preserve">src/pages/buyer/Buyer.tsx, catálogo</t>
  </si>
  <si>
    <t xml:space="preserve">1) producto = café  2) cantidad mínima = 1000  3) precio máx. = 9  4) café + mínimo 500 + máx. 10 (escribir números sin separador de miles)</t>
  </si>
  <si>
    <t xml:space="preserve">1) NAR-2401, NAR-2402, NAR-2404  2) NAR-2401, NAR-2403  3) NAR-2403, NAR-2404  4) NAR-2404. Nunca aparecen los vendidos (NAR-2405 a NAR-2409); 'Limpiar' vuelve a mostrar los 4 disponibles (RF-10)</t>
  </si>
  <si>
    <t xml:space="preserve">RF-10; LIT-73</t>
  </si>
  <si>
    <t xml:space="preserve">MK-016</t>
  </si>
  <si>
    <t xml:space="preserve">Comprobar que la API del catálogo no expone datos de la finca.</t>
  </si>
  <si>
    <t xml:space="preserve">marketplace/serializers.py, LoteSerializer</t>
  </si>
  <si>
    <t xml:space="preserve">GET /api/lotes/ como comprador sin negociación</t>
  </si>
  <si>
    <t xml:space="preserve">El JSON no incluye finca, municipio, altitud ni polígono (RN-13)</t>
  </si>
  <si>
    <t xml:space="preserve">Ejecutar en el Sprint 3 al implementar el módulo en la plataforma.</t>
  </si>
  <si>
    <t xml:space="preserve">TX-001</t>
  </si>
  <si>
    <t xml:space="preserve">Cálculo de comisión 1%</t>
  </si>
  <si>
    <t xml:space="preserve">transacciones/services.py, calcular_comision()</t>
  </si>
  <si>
    <t xml:space="preserve">precio=1.000.000</t>
  </si>
  <si>
    <t xml:space="preserve">comisión=10.000 (1%)</t>
  </si>
  <si>
    <t xml:space="preserve">Ejecutar en el Sprint 4 al implementar el módulo en Django (caso del plan del Sprint 2).</t>
  </si>
  <si>
    <t xml:space="preserve">RF-14; RN-11; RNF-01; LIT-77</t>
  </si>
  <si>
    <t xml:space="preserve">4</t>
  </si>
  <si>
    <t xml:space="preserve">TX-002</t>
  </si>
  <si>
    <t xml:space="preserve">Comisión con valor mínimo aplicado</t>
  </si>
  <si>
    <t xml:space="preserve">transacciones/services.py</t>
  </si>
  <si>
    <t xml:space="preserve">precio muy bajo (&lt; mínimo/1%)</t>
  </si>
  <si>
    <t xml:space="preserve">Aplica el valor mínimo de comisión (RN-11)</t>
  </si>
  <si>
    <t xml:space="preserve">TX-003</t>
  </si>
  <si>
    <t xml:space="preserve">Bloqueo de dinero (escrow)</t>
  </si>
  <si>
    <t xml:space="preserve">transacciones/services.py, EscrowService</t>
  </si>
  <si>
    <t xml:space="preserve">transacción acordada</t>
  </si>
  <si>
    <t xml:space="preserve">escrow en estado BLOQUEADO con el monto</t>
  </si>
  <si>
    <t xml:space="preserve">RF-13; RN-7; LIT-76</t>
  </si>
  <si>
    <t xml:space="preserve">TX-004</t>
  </si>
  <si>
    <t xml:space="preserve">Liberación de escrow al aceptar producto</t>
  </si>
  <si>
    <t xml:space="preserve">veredicto ACEPTA</t>
  </si>
  <si>
    <t xml:space="preserve">escrow LIBERADO al vendedor (RN-7)</t>
  </si>
  <si>
    <t xml:space="preserve">TX-005</t>
  </si>
  <si>
    <t xml:space="preserve">Gestión de disputa</t>
  </si>
  <si>
    <t xml:space="preserve">transacciones/services.py, DisputaService</t>
  </si>
  <si>
    <t xml:space="preserve">transacción + motivo</t>
  </si>
  <si>
    <t xml:space="preserve">Disputa creada; pago congelado hasta resolución</t>
  </si>
  <si>
    <t xml:space="preserve">RF-15; LIT-78</t>
  </si>
  <si>
    <t xml:space="preserve">TX-006</t>
  </si>
  <si>
    <t xml:space="preserve">Calcular la comisión del 1% cuando supera el valor mínimo.</t>
  </si>
  <si>
    <t xml:space="preserve">src/domain/rules.ts, commission()</t>
  </si>
  <si>
    <t xml:space="preserve">monto = 10.000 €</t>
  </si>
  <si>
    <t xml:space="preserve">Comisión = 100 € (1%, RN-11)</t>
  </si>
  <si>
    <t xml:space="preserve">commission(10000) = 100 €</t>
  </si>
  <si>
    <t xml:space="preserve">TX-007</t>
  </si>
  <si>
    <t xml:space="preserve">Aplicar el valor mínimo de comisión y verificar el punto de corte.</t>
  </si>
  <si>
    <t xml:space="preserve">src/domain/rules.ts, commission(), MIN_COMMISSION_EUR</t>
  </si>
  <si>
    <t xml:space="preserve">montos 1.000 €, 2.500 € y 3.000 €</t>
  </si>
  <si>
    <t xml:space="preserve">1.000 € → 25 €; 2.500 € → 25 € (1% = mínimo); 3.000 € → 30 €. El mínimo de 25 € es un VALOR DE EJEMPLO: el cliente no lo ha definido</t>
  </si>
  <si>
    <t xml:space="preserve">1000 € → 25 €; 2500 € → 25 €; 3000 € → 30 €</t>
  </si>
  <si>
    <t xml:space="preserve">Ejecutado automáticamente (pruebas/ejecutar.mjs). El responsable debe re-ejecutarlo y confirmar. Confirmar con el stakeholder el valor mínimo real de la comisión y actualizar el caso.</t>
  </si>
  <si>
    <t xml:space="preserve">TX-008</t>
  </si>
  <si>
    <t xml:space="preserve">Calcular los totales de una transacción: subtotal, comisión a cada parte, monto bloqueado y monto que recibe el vendedor.</t>
  </si>
  <si>
    <t xml:space="preserve">src/domain/rules.ts, transactionTotals()</t>
  </si>
  <si>
    <t xml:space="preserve">600 kg × 6,80 €/kg</t>
  </si>
  <si>
    <t xml:space="preserve">Subtotal 4.080 €; comisión 40,80 € a comprador y a vendedor; comprador bloquea 4.120,80 €; vendedor recibe 4.039,20 €; plataforma 81,60 € (exacto al centavo, RNF-01)</t>
  </si>
  <si>
    <t xml:space="preserve">subtotal 4080; comisión c/u 40.800000000000004; comprador paga 4120.8; vendedor recibe 4039.2; plataforma 81.60000000000001</t>
  </si>
  <si>
    <t xml:space="preserve">Ejecutado automáticamente (pruebas/ejecutar.mjs). El responsable debe re-ejecutarlo y confirmar. Pasa al centavo, pero el cálculo en coma flotante deja residuos (40,800000000000004). En el backend usar Decimal y redondear a 2 decimales (ver TX-011).</t>
  </si>
  <si>
    <t xml:space="preserve">TX-009</t>
  </si>
  <si>
    <t xml:space="preserve">Bloquear el dinero del comprador (escrow) al acordar la venta.</t>
  </si>
  <si>
    <t xml:space="preserve">src/store/DemoStore.tsx (agree) + src/domain/rules.ts (transactionTotals)</t>
  </si>
  <si>
    <t xml:space="preserve">transacción de 300 kg × 6,50 €/kg</t>
  </si>
  <si>
    <t xml:space="preserve">Escrow 'bloqueado'; el comprador deja 1.975 € (1.950 € + comisión mínima de ejemplo de 25 €) (RN-7)</t>
  </si>
  <si>
    <t xml:space="preserve">Escrow "held" desde el acuerdo; comprador deja bloqueado 1975 € (subtotal 1950 + comisión 25)</t>
  </si>
  <si>
    <t xml:space="preserve">Ejecutado automáticamente (pruebas/ejecutar.mjs). El responsable debe re-ejecutarlo y confirmar. Confirmar con el stakeholder el valor mínimo real de la comisión.</t>
  </si>
  <si>
    <t xml:space="preserve">RF-13; RN-7; RN-11; LIT-76</t>
  </si>
  <si>
    <t xml:space="preserve">TX-010</t>
  </si>
  <si>
    <t xml:space="preserve">Resolver una disputa liberando o reembolsando, una sola vez.</t>
  </si>
  <si>
    <t xml:space="preserve">src/store/DemoStore.tsx, reducer: resolveDispute</t>
  </si>
  <si>
    <t xml:space="preserve">resolución 'liberar'; resolución 'reembolsar'; segunda resolución</t>
  </si>
  <si>
    <t xml:space="preserve">Liberar → pago al vendedor; reembolsar → devolución al comprador; ambas dejan la transacción 'resuelta'; una disputa resuelta no se puede volver a resolver</t>
  </si>
  <si>
    <t xml:space="preserve">Liberar → escrow "released" (resolved); reembolsar → "refunded" (resolved); resolver de nuevo → "refunded"</t>
  </si>
  <si>
    <t xml:space="preserve">TX-011</t>
  </si>
  <si>
    <t xml:space="preserve">Revisar montos y comisiones en el detalle de una transacción.</t>
  </si>
  <si>
    <t xml:space="preserve">src/pages/shared/Transactions.tsx</t>
  </si>
  <si>
    <t xml:space="preserve">transacción en curso vista como comprador y como vendedor</t>
  </si>
  <si>
    <t xml:space="preserve">Se ven subtotal, comisión de cada parte, monto bloqueado y equivalente en COP marcados como 'valor de ejemplo' (RF-14)</t>
  </si>
  <si>
    <t xml:space="preserve">RF-13; RF-14; LIT-76; LIT-77</t>
  </si>
  <si>
    <t xml:space="preserve">TX-012</t>
  </si>
  <si>
    <t xml:space="preserve">Calcular montos con precisión decimal.</t>
  </si>
  <si>
    <t xml:space="preserve">600 kg × 6,80 €/kg (mismo caso que TX-008)</t>
  </si>
  <si>
    <t xml:space="preserve">Montos con Decimal redondeados a 2 decimales, sin residuos de coma flotante (RNF-01)</t>
  </si>
  <si>
    <t xml:space="preserve">Ejecutar en el Sprint 4 al implementar el módulo en la plataforma.</t>
  </si>
  <si>
    <t xml:space="preserve">RF-14; RNF-01; LIT-77</t>
  </si>
  <si>
    <t xml:space="preserve">TX-013</t>
  </si>
  <si>
    <t xml:space="preserve">Proteger la transacción acordada a nivel de base de datos.</t>
  </si>
  <si>
    <t xml:space="preserve">transacciones/models.py, migraciones (trigger o permisos)</t>
  </si>
  <si>
    <t xml:space="preserve">UPDATE directo sobre una transacción acordada</t>
  </si>
  <si>
    <t xml:space="preserve">La base de datos rechaza el cambio; solo se agregan eventos (RN-6, RNF-03)</t>
  </si>
  <si>
    <t xml:space="preserve">CL-001</t>
  </si>
  <si>
    <t xml:space="preserve">Registro de muestra del producto</t>
  </si>
  <si>
    <t xml:space="preserve">calidad/services.py, MuestraService</t>
  </si>
  <si>
    <t xml:space="preserve">transacción + muestra registrada</t>
  </si>
  <si>
    <t xml:space="preserve">Muestra asociada a la transacción (RN-8)</t>
  </si>
  <si>
    <t xml:space="preserve">Ejecutar en el Sprint 5 al implementar el módulo en Django (caso del plan del Sprint 2).</t>
  </si>
  <si>
    <t xml:space="preserve">RF-16; RN-8; LIT-79</t>
  </si>
  <si>
    <t xml:space="preserve">5</t>
  </si>
  <si>
    <t xml:space="preserve">CL-002</t>
  </si>
  <si>
    <t xml:space="preserve">Verificación muestra vs. producto recibido</t>
  </si>
  <si>
    <t xml:space="preserve">calidad/services.py, verificar()</t>
  </si>
  <si>
    <t xml:space="preserve">parámetros del laboratorio</t>
  </si>
  <si>
    <t xml:space="preserve">Comparación registrada con parámetros (RN-9)</t>
  </si>
  <si>
    <t xml:space="preserve">RF-17; RN-9; LIT-80</t>
  </si>
  <si>
    <t xml:space="preserve">CL-003</t>
  </si>
  <si>
    <t xml:space="preserve">Veredicto ACEPTA libera el pago</t>
  </si>
  <si>
    <t xml:space="preserve">calidad/services.py</t>
  </si>
  <si>
    <t xml:space="preserve">Se libera el escrow</t>
  </si>
  <si>
    <t xml:space="preserve">RF-18; RN-7; LIT-81</t>
  </si>
  <si>
    <t xml:space="preserve">CL-004</t>
  </si>
  <si>
    <t xml:space="preserve">Veredicto RECHAZA abre disputa</t>
  </si>
  <si>
    <t xml:space="preserve">veredicto RECHAZA</t>
  </si>
  <si>
    <t xml:space="preserve">Se crea disputa y no se libera el pago</t>
  </si>
  <si>
    <t xml:space="preserve">RF-18; RF-15; LIT-81</t>
  </si>
  <si>
    <t xml:space="preserve">CL-005</t>
  </si>
  <si>
    <t xml:space="preserve">Registrar la muestra del producto una sola vez tras el acuerdo.</t>
  </si>
  <si>
    <t xml:space="preserve">src/store/DemoStore.tsx, reducer: registerSample</t>
  </si>
  <si>
    <t xml:space="preserve">propietario registra muestra M-TEST-01 y luego intenta otra</t>
  </si>
  <si>
    <t xml:space="preserve">Muestra asociada a la transacción, etapa 'muestra'; el segundo registro no reemplaza la primera (RN-8)</t>
  </si>
  <si>
    <t xml:space="preserve">Muestra M-TEST-01 asociada, etapa "sample"; segundo registro deja la muestra en M-TEST-01</t>
  </si>
  <si>
    <t xml:space="preserve">CL-006</t>
  </si>
  <si>
    <t xml:space="preserve">Aceptar el producto entregado y liberar el pago.</t>
  </si>
  <si>
    <t xml:space="preserve">src/store/DemoStore.tsx, reducer: verify (accept)</t>
  </si>
  <si>
    <t xml:space="preserve">veredicto 'acepta' sobre transacción entregada</t>
  </si>
  <si>
    <t xml:space="preserve">Etapa 'aceptada' y escrow 'liberado' al vendedor (RN-7, RN-8)</t>
  </si>
  <si>
    <t xml:space="preserve">Etapa "accepted", escrow "released"</t>
  </si>
  <si>
    <t xml:space="preserve">RF-18; RN-7; RN-8; LIT-81</t>
  </si>
  <si>
    <t xml:space="preserve">CL-007</t>
  </si>
  <si>
    <t xml:space="preserve">Impedir el veredicto antes de que el pedido llegue.</t>
  </si>
  <si>
    <t xml:space="preserve">src/store/DemoStore.tsx, reducer: verify</t>
  </si>
  <si>
    <t xml:space="preserve">veredicto 'acepta' con la transacción en etapa 'muestra'</t>
  </si>
  <si>
    <t xml:space="preserve">Se ignora: la etapa no cambia y el dinero sigue bloqueado</t>
  </si>
  <si>
    <t xml:space="preserve">Aceptar antes de la entrega: etapa "sample", escrow "held"</t>
  </si>
  <si>
    <t xml:space="preserve">CL-008</t>
  </si>
  <si>
    <t xml:space="preserve">Rechazar el producto y abrir una disputa.</t>
  </si>
  <si>
    <t xml:space="preserve">src/store/DemoStore.tsx, reducer: verify (reject)</t>
  </si>
  <si>
    <t xml:space="preserve">veredicto 'rechaza' con motivo 'Humedad fuera de rango'</t>
  </si>
  <si>
    <t xml:space="preserve">Disputa abierta con el motivo; transacción 'en disputa'; el pago no se libera</t>
  </si>
  <si>
    <t xml:space="preserve">Etapa "disputed", escrow "held", disputa "open" con motivo "Humedad fuera de rango"</t>
  </si>
  <si>
    <t xml:space="preserve">RF-15; RF-18; LIT-78; LIT-81</t>
  </si>
  <si>
    <t xml:space="preserve">CL-009</t>
  </si>
  <si>
    <t xml:space="preserve">Verificar la calidad con los parámetros del laboratorio.</t>
  </si>
  <si>
    <t xml:space="preserve">parámetros del laboratorio de la universidad (por definir) y muestra</t>
  </si>
  <si>
    <t xml:space="preserve">La verificación compara cada parámetro con su tolerancia y guarda el resultado (RN-9)</t>
  </si>
  <si>
    <t xml:space="preserve">Ejecutar en el Sprint 5 al implementar el módulo en la plataforma.</t>
  </si>
  <si>
    <t xml:space="preserve">LG-001</t>
  </si>
  <si>
    <t xml:space="preserve">Transición de estados del pedido</t>
  </si>
  <si>
    <t xml:space="preserve">logistica/services.py, EnvioService</t>
  </si>
  <si>
    <t xml:space="preserve">preparado -&gt; enviado -&gt; en tránsito -&gt; entregado</t>
  </si>
  <si>
    <t xml:space="preserve">Transiciones válidas; rechaza inválidas</t>
  </si>
  <si>
    <t xml:space="preserve">RF-19; RN-14; LIT-82</t>
  </si>
  <si>
    <t xml:space="preserve">LG-002</t>
  </si>
  <si>
    <t xml:space="preserve">Tracker visible para comprador y vendedor</t>
  </si>
  <si>
    <t xml:space="preserve">logistica/views.py, tracker()</t>
  </si>
  <si>
    <t xml:space="preserve">pedido de una transacción</t>
  </si>
  <si>
    <t xml:space="preserve">Comprador y vendedor ven el historial; terceros no</t>
  </si>
  <si>
    <t xml:space="preserve">RF-20; RN-13; LIT-83</t>
  </si>
  <si>
    <t xml:space="preserve">LG-003</t>
  </si>
  <si>
    <t xml:space="preserve">Recorrer las etapas del tracker de logística en orden.</t>
  </si>
  <si>
    <t xml:space="preserve">src/domain/rules.ts, nextShippingStage()</t>
  </si>
  <si>
    <t xml:space="preserve">etapa inicial: muestra registrada</t>
  </si>
  <si>
    <t xml:space="preserve">muestra → preparado → enviado → en tránsito → entregado → sin siguiente etapa</t>
  </si>
  <si>
    <t xml:space="preserve">sample → prepared → shipped → in_transit → delivered → null</t>
  </si>
  <si>
    <t xml:space="preserve">LG-004</t>
  </si>
  <si>
    <t xml:space="preserve">Impedir avanzar el tracker desde etapas que no son de envío.</t>
  </si>
  <si>
    <t xml:space="preserve">acordada, aceptada, en disputa, resuelta</t>
  </si>
  <si>
    <t xml:space="preserve">Ninguna tiene siguiente etapa de envío (no se envía sin muestra ni después del cierre)</t>
  </si>
  <si>
    <t xml:space="preserve">agreed → null; accepted → null; disputed → null; resolved → null</t>
  </si>
  <si>
    <t xml:space="preserve">RF-19; RN-8; LIT-82</t>
  </si>
  <si>
    <t xml:space="preserve">LG-005</t>
  </si>
  <si>
    <t xml:space="preserve">Actualizar el tracker como transportador, solo después de la muestra.</t>
  </si>
  <si>
    <t xml:space="preserve">src/store/DemoStore.tsx, reducer: advanceShipping</t>
  </si>
  <si>
    <t xml:space="preserve">avanzar sin muestra; luego 6 avances con muestra</t>
  </si>
  <si>
    <t xml:space="preserve">Sin muestra no avanza; con muestra el historial es acordada → muestra → preparado → enviado → en tránsito → entregado y se detiene</t>
  </si>
  <si>
    <t xml:space="preserve">Sin muestra se queda en "agreed"; con muestra y 6 avances: agreed → sample → prepared → shipped → in_transit → delivered</t>
  </si>
  <si>
    <t xml:space="preserve">RF-19; RF-20; RN-14; LIT-82; LIT-83</t>
  </si>
  <si>
    <t xml:space="preserve">LG-006</t>
  </si>
  <si>
    <t xml:space="preserve">Seguir el pedido desde los tres roles involucrados.</t>
  </si>
  <si>
    <t xml:space="preserve">src/pages/carrier/Carrier.tsx, src/pages/shared/Transactions.tsx</t>
  </si>
  <si>
    <t xml:space="preserve">transportador avanza una etapa; comprador y vendedor consultan</t>
  </si>
  <si>
    <t xml:space="preserve">El comprador y el vendedor ven la nueva etapa con fecha en el tracker (RF-20)</t>
  </si>
  <si>
    <t xml:space="preserve">RF-19; RF-20; LIT-82; LIT-83</t>
  </si>
  <si>
    <t xml:space="preserve">AD-001</t>
  </si>
  <si>
    <t xml:space="preserve">Panel del administrador del sistema</t>
  </si>
  <si>
    <t xml:space="preserve">administracion/views.py</t>
  </si>
  <si>
    <t xml:space="preserve">gestión de usuarios, disputas y comisiones</t>
  </si>
  <si>
    <t xml:space="preserve">Acciones aplicadas y registradas</t>
  </si>
  <si>
    <t xml:space="preserve">Ejecutar en el Sprint 6 al implementar el módulo en Django (caso del plan del Sprint 2).</t>
  </si>
  <si>
    <t xml:space="preserve">RF-21; LIT-84</t>
  </si>
  <si>
    <t xml:space="preserve">6</t>
  </si>
  <si>
    <t xml:space="preserve">AD-002</t>
  </si>
  <si>
    <t xml:space="preserve">Auditoría del administrador técnico</t>
  </si>
  <si>
    <t xml:space="preserve">administracion/services.py, AuditoriaService</t>
  </si>
  <si>
    <t xml:space="preserve">consulta de acciones</t>
  </si>
  <si>
    <t xml:space="preserve">Historial de auditoría completo</t>
  </si>
  <si>
    <t xml:space="preserve">RF-22; RNF-11; LIT-85</t>
  </si>
  <si>
    <t xml:space="preserve">AD-003</t>
  </si>
  <si>
    <t xml:space="preserve">Ejecutar un respaldo manual desde el panel técnico.</t>
  </si>
  <si>
    <t xml:space="preserve">src/store/DemoStore.tsx, reducer: runBackup</t>
  </si>
  <si>
    <t xml:space="preserve">administrador técnico ejecuta el respaldo</t>
  </si>
  <si>
    <t xml:space="preserve">Se actualiza la fecha del último respaldo y se registra en auditoría con el usuario técnico (RF-22)</t>
  </si>
  <si>
    <t xml:space="preserve">Último respaldo 28/09/2026 17:40 → 29/09/26, 10:55 p. m. (hora local); auditoría "backup" sobre rds-ritech-prod por u-tech</t>
  </si>
  <si>
    <t xml:space="preserve">RF-22; RNF-06; LIT-85</t>
  </si>
  <si>
    <t xml:space="preserve">AD-004</t>
  </si>
  <si>
    <t xml:space="preserve">Registrar en auditoría quién hizo cada acción.</t>
  </si>
  <si>
    <t xml:space="preserve">src/store/DemoStore.tsx, log()</t>
  </si>
  <si>
    <t xml:space="preserve">vendedor publica, administrador bloquea, técnico respalda</t>
  </si>
  <si>
    <t xml:space="preserve">3 entradas nuevas con la acción y el usuario del rol que la hizo (RNF-11)</t>
  </si>
  <si>
    <t xml:space="preserve">Acciones registradas: seller:publish, admin:block, tech:backup; usuarios: u-seller, u-admin, u-tech; entradas nuevas 3</t>
  </si>
  <si>
    <t xml:space="preserve">AD-005</t>
  </si>
  <si>
    <t xml:space="preserve">Restablecer la demo a los datos de ejemplo.</t>
  </si>
  <si>
    <t xml:space="preserve">src/store/DemoStore.tsx, reducer: reset</t>
  </si>
  <si>
    <t xml:space="preserve">estado modificado (usuario bloqueado + respaldo) y reset</t>
  </si>
  <si>
    <t xml:space="preserve">Usuarios, lotes y auditoría vuelven a los datos de ejemplo; se conserva el rol activo</t>
  </si>
  <si>
    <t xml:space="preserve">Tras reset: datos iguales a la semilla = true; rol conservado = admin</t>
  </si>
  <si>
    <t xml:space="preserve">RNF-04</t>
  </si>
  <si>
    <t xml:space="preserve">AD-006</t>
  </si>
  <si>
    <t xml:space="preserve">Usar el panel del administrador del sistema.</t>
  </si>
  <si>
    <t xml:space="preserve">src/pages/admin/Admin.tsx</t>
  </si>
  <si>
    <t xml:space="preserve">validar certificado, resolver disputa, bloquear usuario, ver comisiones</t>
  </si>
  <si>
    <t xml:space="preserve">Cada acción se aplica, se refleja en los otros roles y queda en auditoría (RF-21)</t>
  </si>
  <si>
    <t xml:space="preserve">AD-007</t>
  </si>
  <si>
    <t xml:space="preserve">Usar el panel del administrador técnico.</t>
  </si>
  <si>
    <t xml:space="preserve">src/pages/tech/Tech.tsx</t>
  </si>
  <si>
    <t xml:space="preserve">consultar auditoría y ejecutar respaldo</t>
  </si>
  <si>
    <t xml:space="preserve">La auditoría lista las acciones recientes y el respaldo actualiza su fecha (RF-22)</t>
  </si>
  <si>
    <t xml:space="preserve">AD-008</t>
  </si>
  <si>
    <t xml:space="preserve">Generar la constancia PDF de una transacción.</t>
  </si>
  <si>
    <t xml:space="preserve">documentos/services.py, generar_pdf()</t>
  </si>
  <si>
    <t xml:space="preserve">PDF con partes, cantidades, precio, comisiones y fecha, guardado en S3</t>
  </si>
  <si>
    <t xml:space="preserve">Ejecutar en el Sprint 6 al implementar el módulo en la plataforma.</t>
  </si>
  <si>
    <t xml:space="preserve">RF-12; RF-23</t>
  </si>
  <si>
    <t xml:space="preserve">BD-001</t>
  </si>
  <si>
    <t xml:space="preserve">Integridad referencial (claves foráneas)</t>
  </si>
  <si>
    <t xml:space="preserve">db/schema.sql, migraciones</t>
  </si>
  <si>
    <t xml:space="preserve">inserción con FK inválida</t>
  </si>
  <si>
    <t xml:space="preserve">Rechaza la inserción; mantiene integridad</t>
  </si>
  <si>
    <t xml:space="preserve">RNF-03; RNF-04</t>
  </si>
  <si>
    <t xml:space="preserve">BD-002</t>
  </si>
  <si>
    <t xml:space="preserve">Consultas geoespaciales PostGIS</t>
  </si>
  <si>
    <t xml:space="preserve">fincas/models.py, GIST index</t>
  </si>
  <si>
    <t xml:space="preserve">consulta por polígono/área</t>
  </si>
  <si>
    <t xml:space="preserve">Resultados correctos y con buen rendimiento</t>
  </si>
  <si>
    <t xml:space="preserve">RF-05; RNF-07</t>
  </si>
  <si>
    <t xml:space="preserve">DP-001</t>
  </si>
  <si>
    <t xml:space="preserve">Despliegue del frontend en S3 + CloudFront</t>
  </si>
  <si>
    <t xml:space="preserve">infra/, build React</t>
  </si>
  <si>
    <t xml:space="preserve">build estático publicado</t>
  </si>
  <si>
    <t xml:space="preserve">SPA accesible por HTTPS con caché</t>
  </si>
  <si>
    <t xml:space="preserve">RF-23; LIT-86</t>
  </si>
  <si>
    <t xml:space="preserve">DP-002</t>
  </si>
  <si>
    <t xml:space="preserve">Backend en Elastic Beanstalk + RDS</t>
  </si>
  <si>
    <t xml:space="preserve">infra/, Django + Gunicorn</t>
  </si>
  <si>
    <t xml:space="preserve">API desplegada y conectada a RDS</t>
  </si>
  <si>
    <t xml:space="preserve">API responde y persiste en PostgreSQL+PostGIS</t>
  </si>
  <si>
    <t xml:space="preserve">DP-003</t>
  </si>
  <si>
    <t xml:space="preserve">Compilar la aplicación para producción.</t>
  </si>
  <si>
    <t xml:space="preserve">package.json: npm run build (tsc -b &amp;&amp; vite build)</t>
  </si>
  <si>
    <t xml:space="preserve">código fuente del prototipo</t>
  </si>
  <si>
    <t xml:space="preserve">Compila sin errores de tipos y genera dist/ listo para S3 + CloudFront</t>
  </si>
  <si>
    <t xml:space="preserve">tsc -b sin errores y vite build OK en 712ms; bundle JS 975.98 kB (298.33 kB gzip); Vite advierte que el bundle supera 500 kB (sin code-splitting)</t>
  </si>
  <si>
    <t xml:space="preserve">Ejecutado automáticamente (pruebas/ejecutar.mjs). El responsable debe re-ejecutarlo y confirmar. Vite advierte que el bundle supera 500 kB: evaluar code-splitting por rol antes del despliegue (RNF-07).</t>
  </si>
  <si>
    <t xml:space="preserve">RF-23; RNF-04; LIT-86</t>
  </si>
  <si>
    <t xml:space="preserve">DP-004</t>
  </si>
  <si>
    <t xml:space="preserve">Revisar logs y alarmas en CloudWatch.</t>
  </si>
  <si>
    <t xml:space="preserve">infra/ (CloudWatch)</t>
  </si>
  <si>
    <t xml:space="preserve">error 500 provocado en la API</t>
  </si>
  <si>
    <t xml:space="preserve">El error aparece en los logs y dispara la alarma configurada</t>
  </si>
  <si>
    <t xml:space="preserve">RF-23; RNF-08; LIT-86</t>
  </si>
  <si>
    <t xml:space="preserve">RNF-001</t>
  </si>
  <si>
    <t xml:space="preserve">Exactitud de cálculos (comisiones y pesos)</t>
  </si>
  <si>
    <t xml:space="preserve">transacciones/, calidad/</t>
  </si>
  <si>
    <t xml:space="preserve">casos límite de cálculo</t>
  </si>
  <si>
    <t xml:space="preserve">Resultados exactos (RNF-01)</t>
  </si>
  <si>
    <t xml:space="preserve">RNF-01; LIT-87</t>
  </si>
  <si>
    <t xml:space="preserve">RNF-002</t>
  </si>
  <si>
    <t xml:space="preserve">Usabilidad: protección contra errores de captura</t>
  </si>
  <si>
    <t xml:space="preserve">formularios y validaciones</t>
  </si>
  <si>
    <t xml:space="preserve">datos inválidos en formularios</t>
  </si>
  <si>
    <t xml:space="preserve">Muestra errores y no guarda datos inválidos (RNF-02)</t>
  </si>
  <si>
    <t xml:space="preserve">RNF-02; LIT-87</t>
  </si>
  <si>
    <t xml:space="preserve">RNF-003</t>
  </si>
  <si>
    <t xml:space="preserve">Seguridad y privacidad de datos</t>
  </si>
  <si>
    <t xml:space="preserve">settings.py, permisos, HTTPS</t>
  </si>
  <si>
    <t xml:space="preserve">acceso no autorizado a datos privados</t>
  </si>
  <si>
    <t xml:space="preserve">Acceso denegado; datos protegidos (RNF-05/09)</t>
  </si>
  <si>
    <t xml:space="preserve">RNF-05; RNF-09; LIT-87</t>
  </si>
  <si>
    <t xml:space="preserve">RNF-004</t>
  </si>
  <si>
    <t xml:space="preserve">Respaldo automático en la nube</t>
  </si>
  <si>
    <t xml:space="preserve">infra/ (RDS backups)</t>
  </si>
  <si>
    <t xml:space="preserve">ventana de respaldo</t>
  </si>
  <si>
    <t xml:space="preserve">Respaldo generado y verificable (RNF-06)</t>
  </si>
  <si>
    <t xml:space="preserve">RNF-06; LIT-87</t>
  </si>
  <si>
    <t xml:space="preserve">RNF-005</t>
  </si>
  <si>
    <t xml:space="preserve">Verificar que la interfaz tiene todas las cadenas traducidas en español e inglés.</t>
  </si>
  <si>
    <t xml:space="preserve">src/i18n/es.ts, src/i18n/en.ts</t>
  </si>
  <si>
    <t xml:space="preserve">diccionarios ES y EN</t>
  </si>
  <si>
    <t xml:space="preserve">Mismo conjunto de claves en ES y EN, sin textos vacíos (RNF-10)</t>
  </si>
  <si>
    <t xml:space="preserve">475 claves en ES, 475 en EN; faltan en EN: 0; sobran: 0; vacías: 0</t>
  </si>
  <si>
    <t xml:space="preserve">RNF-10</t>
  </si>
  <si>
    <t xml:space="preserve">RNF-006</t>
  </si>
  <si>
    <t xml:space="preserve">Verificar que cada foto tiene autor y licencia registrados.</t>
  </si>
  <si>
    <t xml:space="preserve">src/data/imageCredits.ts, public/images</t>
  </si>
  <si>
    <t xml:space="preserve">archivos de public/images y lista de créditos</t>
  </si>
  <si>
    <t xml:space="preserve">Toda imagen tiene crédito con autor, licencia, fuente y texto alternativo ES/EN (CC BY-SA exige atribución)</t>
  </si>
  <si>
    <t xml:space="preserve">10 imágenes en public/images, 10 créditos; sin crédito: ninguna; créditos incompletos: ninguno</t>
  </si>
  <si>
    <t xml:space="preserve">RNF-05</t>
  </si>
  <si>
    <t xml:space="preserve">RNF-007</t>
  </si>
  <si>
    <t xml:space="preserve">Analizar el código con el linter.</t>
  </si>
  <si>
    <t xml:space="preserve">package.json: npm run lint (oxlint)</t>
  </si>
  <si>
    <t xml:space="preserve">0 errores de lint (mantenibilidad, RNF-04)</t>
  </si>
  <si>
    <t xml:space="preserve">oxlint terminó con código 0: 0 errores, 64 advertencias (58 en código de la librería src/components/ui y src/lib/cojeev, 6 en código propio)</t>
  </si>
  <si>
    <t xml:space="preserve">Ejecutado automáticamente (pruebas/ejecutar.mjs). El responsable debe re-ejecutarlo y confirmar. Revisar las advertencias en código propio; las de src/components/ui son de la librería.</t>
  </si>
  <si>
    <t xml:space="preserve">RNF-008</t>
  </si>
  <si>
    <t xml:space="preserve">Verificar el contraste de la paleta y del texto sobre fotos.</t>
  </si>
  <si>
    <t xml:space="preserve">scripts/contrast.mjs (npm run contrast)</t>
  </si>
  <si>
    <t xml:space="preserve">tokens de color de src/styles/ritech-theme.css</t>
  </si>
  <si>
    <t xml:space="preserve">Todos los pares cumplen WCAG 2.1 AA: texto ≥ 4,5:1; bordes e íconos ≥ 3:1</t>
  </si>
  <si>
    <t xml:space="preserve">36 combinaciones verificadas, 0 fallan; texto: mínimo 5.20:1 (exige 4.5:1); bordes/íconos: mínimo 3.90:1 (exige 3:1)</t>
  </si>
  <si>
    <t xml:space="preserve">RNF-02</t>
  </si>
  <si>
    <t xml:space="preserve">RNF-009</t>
  </si>
  <si>
    <t xml:space="preserve">Comprobar que la interfaz no usa degradados (requisito del cliente).</t>
  </si>
  <si>
    <t xml:space="preserve">src/ (búsqueda de linear/radial/conic-gradient)</t>
  </si>
  <si>
    <t xml:space="preserve">todo el código fuente</t>
  </si>
  <si>
    <t xml:space="preserve">0 degradados en el código</t>
  </si>
  <si>
    <t xml:space="preserve">0 coincidencias de linear/radial/conic-gradient en src/</t>
  </si>
  <si>
    <t xml:space="preserve">RNF-010</t>
  </si>
  <si>
    <t xml:space="preserve">Cambiar el idioma de la interfaz.</t>
  </si>
  <si>
    <t xml:space="preserve">src/i18n/I18nProvider.tsx, selector ES/EN</t>
  </si>
  <si>
    <t xml:space="preserve">cambiar a EN en cada vista y recargar</t>
  </si>
  <si>
    <t xml:space="preserve">Todos los textos, fechas y montos cambian de idioma y la preferencia se conserva (RNF-10)</t>
  </si>
  <si>
    <t xml:space="preserve">RNF-011</t>
  </si>
  <si>
    <t xml:space="preserve">Revisar el diseño responsive.</t>
  </si>
  <si>
    <t xml:space="preserve">src/components/layout/*, páginas por rol</t>
  </si>
  <si>
    <t xml:space="preserve">anchos de 360, 768 y 1280 px</t>
  </si>
  <si>
    <t xml:space="preserve">Sin scroll horizontal ni contenido cortado; botones de al menos 44 px</t>
  </si>
  <si>
    <t xml:space="preserve">RNF-012</t>
  </si>
  <si>
    <t xml:space="preserve">Navegar solo con teclado y con lector de pantalla.</t>
  </si>
  <si>
    <t xml:space="preserve">src/components/layout/Brand.tsx (SkipLink), Page.tsx</t>
  </si>
  <si>
    <t xml:space="preserve">Tab / Shift+Tab / Enter; NVDA u Orca</t>
  </si>
  <si>
    <t xml:space="preserve">Enlace para saltar al contenido, foco visible, un solo h1 por vista y estados anunciados con texto (WCAG 2.1 AA)</t>
  </si>
  <si>
    <t xml:space="preserve">RNF-013</t>
  </si>
  <si>
    <t xml:space="preserve">Medir el tiempo de respuesta de la búsqueda de lotes.</t>
  </si>
  <si>
    <t xml:space="preserve">marketplace/views.py + índices PostgreSQL</t>
  </si>
  <si>
    <t xml:space="preserve">10.000 lotes; 50 usuarios concurrentes</t>
  </si>
  <si>
    <t xml:space="preserve">Percentil 95 menor a 2 s (umbral propuesto por el equipo, a validar con el stakeholder) (RNF-07)</t>
  </si>
  <si>
    <t xml:space="preserve">RF-10; RNF-07; LIT-87</t>
  </si>
  <si>
    <t xml:space="preserve">RNF-014</t>
  </si>
  <si>
    <t xml:space="preserve">Proteger los documentos privados en S3.</t>
  </si>
  <si>
    <t xml:space="preserve">infra/ (S3, URLs prefirmadas)</t>
  </si>
  <si>
    <t xml:space="preserve">acceso directo a un certificado y URL prefirmada vencida</t>
  </si>
  <si>
    <t xml:space="preserve">Acceso denegado sin URL válida; la URL prefirmada expira (RNF-05)</t>
  </si>
  <si>
    <t xml:space="preserve">RF-06; RNF-05; LIT-87</t>
  </si>
  <si>
    <t xml:space="preserve">RNF-015</t>
  </si>
  <si>
    <t xml:space="preserve">Probar inyección SQL y XSS en el chat y los filtros.</t>
  </si>
  <si>
    <t xml:space="preserve">marketplace/views.py, chat</t>
  </si>
  <si>
    <t xml:space="preserve">' OR 1=1 --  y  &lt;script&gt;alert(1)&lt;/script&gt;</t>
  </si>
  <si>
    <t xml:space="preserve">Entradas tratadas como texto: sin ejecución de script ni fuga de datos (OWASP Top 10)</t>
  </si>
  <si>
    <t xml:space="preserve">RF-10; RF-11; RNF-05; LIT-87</t>
  </si>
  <si>
    <t xml:space="preserve">RNF-016</t>
  </si>
  <si>
    <t xml:space="preserve">Desplegar una versión sin interrumpir el servicio.</t>
  </si>
  <si>
    <t xml:space="preserve">infra/ (Elastic Beanstalk, despliegue continuo)</t>
  </si>
  <si>
    <t xml:space="preserve">despliegue de una release mensual con tráfico activo</t>
  </si>
  <si>
    <t xml:space="preserve">Sin errores para los usuarios durante el despliegue (RNF-08)</t>
  </si>
  <si>
    <t xml:space="preserve">RNF-08; RN-15; LIT-86</t>
  </si>
  <si>
    <t xml:space="preserve">AC-001</t>
  </si>
  <si>
    <t xml:space="preserve">de aceptación</t>
  </si>
  <si>
    <t xml:space="preserve">Recorrer el flujo completo entre roles con el Product Owner.</t>
  </si>
  <si>
    <t xml:space="preserve">Prototipo completo (DemoStore compartido)</t>
  </si>
  <si>
    <t xml:space="preserve">propietario registra finca → admin valida → vendedor publica → comprador negocia y acuerda → muestra → tracker → comprador acepta</t>
  </si>
  <si>
    <t xml:space="preserve">El pago se libera al vendedor y el PO aprueba el flujo con pantallazos (Definition of Done)</t>
  </si>
  <si>
    <t xml:space="preserve">RF-01; RF-05; RF-09; RF-12; RF-13; RF-18; RF-20; RN-15</t>
  </si>
  <si>
    <t xml:space="preserve">1-6</t>
  </si>
  <si>
    <t xml:space="preserve">AC-002</t>
  </si>
  <si>
    <t xml:space="preserve">Recorrer el flujo con disputa con el Product Owner.</t>
  </si>
  <si>
    <t xml:space="preserve">comprador rechaza el producto → administrador resuelve con reembolso</t>
  </si>
  <si>
    <t xml:space="preserve">El dinero vuelve al comprador y la disputa queda resuelta y auditada; el PO aprueba</t>
  </si>
  <si>
    <t xml:space="preserve">RF-15; RF-18; RF-21; RN-15</t>
  </si>
  <si>
    <t xml:space="preserve">AC-003</t>
  </si>
  <si>
    <t xml:space="preserve">Verificar la lista de requisitos no funcionales antes de cada release.</t>
  </si>
  <si>
    <t xml:space="preserve">Checklist RNF-01 a RNF-11 (hoja Trazabilidad)</t>
  </si>
  <si>
    <t xml:space="preserve">release mensual candidata</t>
  </si>
  <si>
    <t xml:space="preserve">Todos los RNF priorizados verificados y aprobados por el PO antes de publicar (RF-24)</t>
  </si>
  <si>
    <t xml:space="preserve">Ejecutar en el Sprint 1-6 al implementar el módulo en la plataforma.</t>
  </si>
  <si>
    <t xml:space="preserve">RF-24; RN-15; LIT-87</t>
  </si>
  <si>
    <t xml:space="preserve">Resumen del plan de pruebas</t>
  </si>
  <si>
    <t xml:space="preserve">Todas las cifras son fórmulas sobre la hoja «Plan de pruebas».</t>
  </si>
  <si>
    <t xml:space="preserve">Por módulo</t>
  </si>
  <si>
    <t xml:space="preserve">Módulo</t>
  </si>
  <si>
    <t xml:space="preserve">Casos</t>
  </si>
  <si>
    <t xml:space="preserve">Ejecutados</t>
  </si>
  <si>
    <t xml:space="preserve">Pasan (SI)</t>
  </si>
  <si>
    <t xml:space="preserve">Fallan (NO)</t>
  </si>
  <si>
    <t xml:space="preserve">Pendientes</t>
  </si>
  <si>
    <t xml:space="preserve">% que pasa de los ejecutados</t>
  </si>
  <si>
    <t xml:space="preserve">QA · Usuarios y seguridad</t>
  </si>
  <si>
    <t xml:space="preserve">FN · Fincas y trazabilidad EUDR</t>
  </si>
  <si>
    <t xml:space="preserve">MK · Marketplace</t>
  </si>
  <si>
    <t xml:space="preserve">TX · Transacciones y escrow</t>
  </si>
  <si>
    <t xml:space="preserve">CL · Calidad</t>
  </si>
  <si>
    <t xml:space="preserve">LG · Logística (tracker)</t>
  </si>
  <si>
    <t xml:space="preserve">AD · Administración</t>
  </si>
  <si>
    <t xml:space="preserve">BD · Base de datos</t>
  </si>
  <si>
    <t xml:space="preserve">DP · Despliegue y compilación</t>
  </si>
  <si>
    <t xml:space="preserve">RNF · Requisitos no funcionales</t>
  </si>
  <si>
    <t xml:space="preserve">AC · Aceptación (flujo completo)</t>
  </si>
  <si>
    <t xml:space="preserve">Total</t>
  </si>
  <si>
    <t xml:space="preserve">Por tipo de prueba</t>
  </si>
  <si>
    <t xml:space="preserve">Tipo</t>
  </si>
  <si>
    <t xml:space="preserve">Por responsable</t>
  </si>
  <si>
    <t xml:space="preserve">Responsable</t>
  </si>
  <si>
    <t xml:space="preserve">Por ámbito</t>
  </si>
  <si>
    <t xml:space="preserve">Matriz de trazabilidad: requisitos y reglas de negocio → casos de prueba</t>
  </si>
  <si>
    <t xml:space="preserve">Fuente: wiki del proyecto (Requisitos). Cuenta los casos cuya columna M contiene el ID exacto.</t>
  </si>
  <si>
    <t xml:space="preserve">ID</t>
  </si>
  <si>
    <t xml:space="preserve">Descripción</t>
  </si>
  <si>
    <t xml:space="preserve">Cobertura</t>
  </si>
  <si>
    <t xml:space="preserve">RF-01</t>
  </si>
  <si>
    <t xml:space="preserve">Registro y autenticación de usuarios por rol</t>
  </si>
  <si>
    <t xml:space="preserve">RF-02</t>
  </si>
  <si>
    <t xml:space="preserve">Verificación de identidad (identificación y firma una sola vez)</t>
  </si>
  <si>
    <t xml:space="preserve">RF-03</t>
  </si>
  <si>
    <t xml:space="preserve">Ocultar información privada entre usuarios</t>
  </si>
  <si>
    <t xml:space="preserve">RF-04</t>
  </si>
  <si>
    <t xml:space="preserve">Bloqueo y baneo de usuarios por fraude</t>
  </si>
  <si>
    <t xml:space="preserve">RF-05</t>
  </si>
  <si>
    <t xml:space="preserve">Registro de fincas con geolocalización y área</t>
  </si>
  <si>
    <t xml:space="preserve">RF-06</t>
  </si>
  <si>
    <t xml:space="preserve">Carga de certificados de la finca con vigencia</t>
  </si>
  <si>
    <t xml:space="preserve">RF-07</t>
  </si>
  <si>
    <t xml:space="preserve">Estado de cumplimiento EUDR por finca</t>
  </si>
  <si>
    <t xml:space="preserve">RF-08</t>
  </si>
  <si>
    <t xml:space="preserve">Perfil del vendedor</t>
  </si>
  <si>
    <t xml:space="preserve">RF-09</t>
  </si>
  <si>
    <t xml:space="preserve">Publicación de lotes (mínimo 100 kg, precio fijo o a acordar)</t>
  </si>
  <si>
    <t xml:space="preserve">RF-10</t>
  </si>
  <si>
    <t xml:space="preserve">RF-11</t>
  </si>
  <si>
    <t xml:space="preserve">Chat de negociación</t>
  </si>
  <si>
    <t xml:space="preserve">RF-12</t>
  </si>
  <si>
    <t xml:space="preserve">Transacción de venta inmutable</t>
  </si>
  <si>
    <t xml:space="preserve">RF-13</t>
  </si>
  <si>
    <t xml:space="preserve">Dinero bloqueado (escrow) hasta la aceptación</t>
  </si>
  <si>
    <t xml:space="preserve">RF-14</t>
  </si>
  <si>
    <t xml:space="preserve">Comisión del 1% con valor mínimo</t>
  </si>
  <si>
    <t xml:space="preserve">RF-15</t>
  </si>
  <si>
    <t xml:space="preserve">Gestión de disputas</t>
  </si>
  <si>
    <t xml:space="preserve">RF-16</t>
  </si>
  <si>
    <t xml:space="preserve">Registro de la muestra</t>
  </si>
  <si>
    <t xml:space="preserve">RF-17</t>
  </si>
  <si>
    <t xml:space="preserve">Verificación de calidad muestra vs. producto</t>
  </si>
  <si>
    <t xml:space="preserve">RF-18</t>
  </si>
  <si>
    <t xml:space="preserve">Veredicto del comprador libera o retiene el pago</t>
  </si>
  <si>
    <t xml:space="preserve">RF-19</t>
  </si>
  <si>
    <t xml:space="preserve">Actualización de estados del pedido por el transportador</t>
  </si>
  <si>
    <t xml:space="preserve">RF-20</t>
  </si>
  <si>
    <t xml:space="preserve">RF-21</t>
  </si>
  <si>
    <t xml:space="preserve">RF-22</t>
  </si>
  <si>
    <t xml:space="preserve">Panel del administrador técnico (auditoría y respaldos)</t>
  </si>
  <si>
    <t xml:space="preserve">RF-23</t>
  </si>
  <si>
    <t xml:space="preserve">Despliegue en AWS</t>
  </si>
  <si>
    <t xml:space="preserve">RF-24</t>
  </si>
  <si>
    <t xml:space="preserve">Verificación de RNF antes de cada release</t>
  </si>
  <si>
    <t xml:space="preserve">RNF-01</t>
  </si>
  <si>
    <t xml:space="preserve">Exactitud funcional (comisiones y pesos)</t>
  </si>
  <si>
    <t xml:space="preserve">RNF-03</t>
  </si>
  <si>
    <t xml:space="preserve">Fiabilidad: transacción inmutable y durable</t>
  </si>
  <si>
    <t xml:space="preserve">Mantenibilidad por módulos y capas</t>
  </si>
  <si>
    <t xml:space="preserve">Seguridad de documentos y datos privados</t>
  </si>
  <si>
    <t xml:space="preserve">RNF-06</t>
  </si>
  <si>
    <t xml:space="preserve">Respaldo automático en AWS</t>
  </si>
  <si>
    <t xml:space="preserve">RNF-07</t>
  </si>
  <si>
    <t xml:space="preserve">Rendimiento de búsquedas y listados</t>
  </si>
  <si>
    <t xml:space="preserve">RNF-08</t>
  </si>
  <si>
    <t xml:space="preserve">Disponibilidad en releases mensuales</t>
  </si>
  <si>
    <t xml:space="preserve">RNF-09</t>
  </si>
  <si>
    <t xml:space="preserve">Privacidad de ubicación y fincas</t>
  </si>
  <si>
    <t xml:space="preserve">Internacionalización (multi-idioma)</t>
  </si>
  <si>
    <t xml:space="preserve">RNF-11</t>
  </si>
  <si>
    <t xml:space="preserve">Auditoría de acciones</t>
  </si>
  <si>
    <t xml:space="preserve">RN-1</t>
  </si>
  <si>
    <t xml:space="preserve">Cantidad mínima por exportación: 100 kg</t>
  </si>
  <si>
    <t xml:space="preserve">RN-2</t>
  </si>
  <si>
    <t xml:space="preserve">Café y cacao de origen Nariño certificado</t>
  </si>
  <si>
    <t xml:space="preserve">RN-3</t>
  </si>
  <si>
    <t xml:space="preserve">El propietario sube la certificación de origen</t>
  </si>
  <si>
    <t xml:space="preserve">RN-4</t>
  </si>
  <si>
    <t xml:space="preserve">Precio o acuerdo, origen y cantidad por exportación</t>
  </si>
  <si>
    <t xml:space="preserve">RN-5</t>
  </si>
  <si>
    <t xml:space="preserve">Nombre, identificación y firma una sola vez</t>
  </si>
  <si>
    <t xml:space="preserve">RN-6</t>
  </si>
  <si>
    <t xml:space="preserve">Transacción acordada no se modifica</t>
  </si>
  <si>
    <t xml:space="preserve">RN-7</t>
  </si>
  <si>
    <t xml:space="preserve">Escrow: se libera solo cuando el comprador acepta</t>
  </si>
  <si>
    <t xml:space="preserve">RN-8</t>
  </si>
  <si>
    <t xml:space="preserve">Control de calidad con muestra</t>
  </si>
  <si>
    <t xml:space="preserve">RN-9</t>
  </si>
  <si>
    <t xml:space="preserve">Parámetros de calidad del laboratorio</t>
  </si>
  <si>
    <t xml:space="preserve">RN-10</t>
  </si>
  <si>
    <t xml:space="preserve">Solo productores de Colombia</t>
  </si>
  <si>
    <t xml:space="preserve">RN-11</t>
  </si>
  <si>
    <t xml:space="preserve">Comisión a comprador y vendedor (1% con mínimo)</t>
  </si>
  <si>
    <t xml:space="preserve">RN-12</t>
  </si>
  <si>
    <t xml:space="preserve">Bloqueo por intento de fraude</t>
  </si>
  <si>
    <t xml:space="preserve">RN-13</t>
  </si>
  <si>
    <t xml:space="preserve">No se ve información privada de otros</t>
  </si>
  <si>
    <t xml:space="preserve">RN-14</t>
  </si>
  <si>
    <t xml:space="preserve">Logística modelada con tracker</t>
  </si>
  <si>
    <t xml:space="preserve">RN-15</t>
  </si>
  <si>
    <t xml:space="preserve">Entregas por módulos y releases mensuales</t>
  </si>
  <si>
    <t xml:space="preserve">Requisitos sin ningún caso:</t>
  </si>
  <si>
    <t xml:space="preserve">VERIFICADO (parcial): al menos un caso pasó en el prototipo; los casos de la plataforma siguen pendientes.</t>
  </si>
  <si>
    <t xml:space="preserve">Leyenda y criterios del plan</t>
  </si>
  <si>
    <t xml:space="preserve">Columnas</t>
  </si>
  <si>
    <t xml:space="preserve">Prefijo del módulo + número. Los casos del plan del Sprint 2 conservan su ID (QA, FN y MK 001-006; TX 001-005; CL 001-004; LG, AD, BD y DP 001-002; RNF 001-004); los nuevos continúan la numeración. Ojo: un ID como RNF-011 es un caso de prueba, no el requisito RNF-11; el requisito que cubre cada caso está en la columna Trazabilidad.</t>
  </si>
  <si>
    <t xml:space="preserve">tipo</t>
  </si>
  <si>
    <t xml:space="preserve">unitario (una función aislada) · de integración (varias piezas juntas: store + reglas, o componente + i18n) · del sistema (la aplicación completa o su compilación) · de aceptación (flujo validado con el Product Owner).</t>
  </si>
  <si>
    <t xml:space="preserve">Asignado al azar y de forma equilibrada entre los tres integrantes (semilla fija para poder reproducir la asignación).</t>
  </si>
  <si>
    <t xml:space="preserve">Solo se llena con lo que realmente devolvió la ejecución. 'Pendiente de ejecución' si aún no se corre.</t>
  </si>
  <si>
    <t xml:space="preserve">SI · NO · PENDIENTE (no ejecutado todavía).</t>
  </si>
  <si>
    <t xml:space="preserve">Fecha de la ejecución. Vacía mientras el caso está pendiente.</t>
  </si>
  <si>
    <t xml:space="preserve">Prototipo React (demo estática): código que existe hoy en el repositorio. Plataforma (Django + PostgreSQL/PostGIS + AWS): arquitectura objetivo de la wiki, aún no implementada.</t>
  </si>
  <si>
    <t xml:space="preserve">Trazabilidad</t>
  </si>
  <si>
    <t xml:space="preserve">IDs de la wiki separados por '; ' (RF, RNF, RN) e historias de Jira (LIT). La hoja Trazabilidad los cuenta.</t>
  </si>
  <si>
    <t xml:space="preserve">Prefijos de módulo</t>
  </si>
  <si>
    <t xml:space="preserve">QA</t>
  </si>
  <si>
    <t xml:space="preserve">Usuarios y seguridad (Sprint 1)</t>
  </si>
  <si>
    <t xml:space="preserve">FN</t>
  </si>
  <si>
    <t xml:space="preserve">Fincas y trazabilidad EUDR (Sprint 2)</t>
  </si>
  <si>
    <t xml:space="preserve">MK</t>
  </si>
  <si>
    <t xml:space="preserve">Marketplace (Sprint 3)</t>
  </si>
  <si>
    <t xml:space="preserve">TX</t>
  </si>
  <si>
    <t xml:space="preserve">Transacciones y escrow (Sprint 4)</t>
  </si>
  <si>
    <t xml:space="preserve">CL</t>
  </si>
  <si>
    <t xml:space="preserve">Calidad (Sprint 5)</t>
  </si>
  <si>
    <t xml:space="preserve">LG</t>
  </si>
  <si>
    <t xml:space="preserve">Logística (tracker) (Sprint 5)</t>
  </si>
  <si>
    <t xml:space="preserve">AD</t>
  </si>
  <si>
    <t xml:space="preserve">Administración (Sprint 6)</t>
  </si>
  <si>
    <t xml:space="preserve">BD</t>
  </si>
  <si>
    <t xml:space="preserve">Base de datos (Sprint 6)</t>
  </si>
  <si>
    <t xml:space="preserve">DP</t>
  </si>
  <si>
    <t xml:space="preserve">Despliegue y compilación (Sprint 6)</t>
  </si>
  <si>
    <t xml:space="preserve">RNF</t>
  </si>
  <si>
    <t xml:space="preserve">Requisitos no funcionales (Sprint 6)</t>
  </si>
  <si>
    <t xml:space="preserve">AC</t>
  </si>
  <si>
    <t xml:space="preserve">Aceptación (flujo completo) (Sprint 1-6)</t>
  </si>
  <si>
    <t xml:space="preserve">Cómo se ejecutó</t>
  </si>
  <si>
    <t xml:space="preserve">Casos automatizados</t>
  </si>
  <si>
    <t xml:space="preserve">35 casos del prototipo se ejecutaron el 29/09/2026 con `node pruebas/ejecutar.mjs`, que escribe pruebas/resultados.json; `python3 pruebas/generar_excel.py` vuelve a llenar este Excel. El responsable asignado debe re-ejecutarlos y confirmar.</t>
  </si>
  <si>
    <t xml:space="preserve">Casos manuales</t>
  </si>
  <si>
    <t xml:space="preserve">Los casos del sistema y de aceptación del prototipo se ejecutan con `npm run dev`, recorriendo la interfaz, y se documentan con pantallazos.</t>
  </si>
  <si>
    <t xml:space="preserve">Casos de la plataforma</t>
  </si>
  <si>
    <t xml:space="preserve">Se ejecutan en el sprint del módulo cuando exista el backend Django + PostgreSQL/PostGIS y la infraestructura AWS.</t>
  </si>
  <si>
    <t xml:space="preserve">Supuestos</t>
  </si>
  <si>
    <t xml:space="preserve">Comisión mínima</t>
  </si>
  <si>
    <t xml:space="preserve">25 € es un VALOR DE EJEMPLO: el cliente no ha definido la cifra (lo mismo en la interfaz del prototipo).</t>
  </si>
  <si>
    <t xml:space="preserve">Rendimiento</t>
  </si>
  <si>
    <t xml:space="preserve">El umbral de 2 s (p95) de RNF-013 es una propuesta del equipo; la wiki solo dice 'tiempos aceptables'.</t>
  </si>
  <si>
    <t xml:space="preserve">Parámetros de calidad</t>
  </si>
  <si>
    <t xml:space="preserve">Los parámetros del laboratorio de la universidad (RN-9) aún no están definidos; CL-002 y CL-009 dependen de ellos.</t>
  </si>
  <si>
    <t xml:space="preserve">Fuentes</t>
  </si>
  <si>
    <t xml:space="preserve">Wiki: github.com/Jenifrutica/ritech-marketplace/wiki (Requisitos, Arquitectura, Product Backlog, Sprints). Plan del Sprint 2: deliverables/sprint-2/Entregable-B-Plan-de-Pruebas-Sprint2.xlsx.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</si>
</sst>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-mmm\-yy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4E3B2E"/>
      <name val="Calibri"/>
      <family val="0"/>
      <charset val="1"/>
    </font>
    <font>
      <b val="true"/>
      <sz val="16"/>
      <color rgb="FF4E3B2E"/>
      <name val="Calibri"/>
      <family val="0"/>
      <charset val="1"/>
    </font>
    <font>
      <i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Arial"/>
      <family val="2"/>
    </font>
    <font>
      <b val="true"/>
      <sz val="14"/>
      <color rgb="FF4E3B2E"/>
      <name val="Calibri"/>
      <family val="0"/>
      <charset val="1"/>
    </font>
    <font>
      <b val="true"/>
      <sz val="12"/>
      <color rgb="FF4E3B2E"/>
      <name val="Calibri"/>
      <family val="0"/>
      <charset val="1"/>
    </font>
    <font>
      <i val="true"/>
      <sz val="9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E3B2E"/>
        <bgColor rgb="FF375623"/>
      </patternFill>
    </fill>
    <fill>
      <patternFill patternType="solid">
        <fgColor rgb="FFEADF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2A3"/>
      </left>
      <right style="thin">
        <color rgb="FFBFB2A3"/>
      </right>
      <top style="thin">
        <color rgb="FFBFB2A3"/>
      </top>
      <bottom style="thin">
        <color rgb="FFBFB2A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4E3B2E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ont>
        <b val="1"/>
        <color rgb="FF375623"/>
      </font>
      <fill>
        <patternFill>
          <bgColor rgb="FFE2EFDA"/>
        </patternFill>
      </fill>
    </dxf>
    <dxf>
      <font>
        <b val="1"/>
        <color rgb="FF9C0006"/>
      </font>
      <fill>
        <patternFill>
          <bgColor rgb="FFF8CBAD"/>
        </patternFill>
      </fill>
    </dxf>
    <dxf>
      <font>
        <b val="1"/>
        <color rgb="FF7F6000"/>
      </font>
      <fill>
        <patternFill>
          <bgColor rgb="FFFFF2CC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2A3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EADF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75623"/>
      <rgbColor rgb="FF993300"/>
      <rgbColor rgb="FF993366"/>
      <rgbColor rgb="FF333399"/>
      <rgbColor rgb="FF4E3B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108"/>
  <sheetViews>
    <sheetView showFormulas="false" showGridLines="true" showRowColHeaders="true" showZeros="true" rightToLeft="false" tabSelected="true" showOutlineSymbols="true" defaultGridColor="true" view="normal" topLeftCell="A5" colorId="64" zoomScale="150" zoomScaleNormal="150" zoomScalePageLayoutView="100" workbookViewId="0">
      <pane xSplit="1" ySplit="6" topLeftCell="B7" activePane="bottomRight" state="frozen"/>
      <selection pane="topLeft" activeCell="A5" activeCellId="0" sqref="A5"/>
      <selection pane="topRight" activeCell="B5" activeCellId="0" sqref="B5"/>
      <selection pane="bottomLeft" activeCell="A7" activeCellId="0" sqref="A7"/>
      <selection pane="bottomRight" activeCell="A9" activeCellId="0" sqref="A9"/>
    </sheetView>
  </sheetViews>
  <sheetFormatPr defaultColWidth="10.6796875" defaultRowHeight="14.2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5" min="4" style="0" width="38"/>
    <col collapsed="false" customWidth="true" hidden="false" outlineLevel="0" max="6" min="6" style="0" width="30"/>
    <col collapsed="false" customWidth="true" hidden="false" outlineLevel="0" max="7" min="7" style="0" width="40"/>
    <col collapsed="false" customWidth="true" hidden="false" outlineLevel="0" max="8" min="8" style="0" width="42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42"/>
    <col collapsed="false" customWidth="true" hidden="false" outlineLevel="0" max="12" min="12" style="0" width="22"/>
    <col collapsed="false" customWidth="true" hidden="false" outlineLevel="0" max="13" min="13" style="0" width="26"/>
    <col collapsed="false" customWidth="true" hidden="false" outlineLevel="0" max="14" min="14" style="0" width="8"/>
  </cols>
  <sheetData>
    <row r="2" customFormat="false" ht="19.7" hidden="false" customHeight="false" outlineLevel="0" collapsed="false">
      <c r="A2" s="1" t="s">
        <v>0</v>
      </c>
      <c r="G2" s="2" t="s">
        <v>1</v>
      </c>
    </row>
    <row r="3" customFormat="false" ht="14.25" hidden="false" customHeight="false" outlineLevel="0" collapsed="false">
      <c r="A3" s="3" t="s">
        <v>2</v>
      </c>
    </row>
    <row r="4" customFormat="false" ht="14.25" hidden="false" customHeight="false" outlineLevel="0" collapsed="false">
      <c r="A4" s="4" t="s">
        <v>3</v>
      </c>
      <c r="F4" s="5" t="s">
        <v>4</v>
      </c>
      <c r="G4" s="6" t="s">
        <v>5</v>
      </c>
      <c r="H4" s="6" t="s">
        <v>6</v>
      </c>
      <c r="I4" s="6" t="s">
        <v>7</v>
      </c>
    </row>
    <row r="6" customFormat="false" ht="48" hidden="false" customHeight="true" outlineLevel="0" collapsed="false">
      <c r="A6" s="7" t="s">
        <v>8</v>
      </c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7" t="s">
        <v>16</v>
      </c>
      <c r="J6" s="7" t="s">
        <v>17</v>
      </c>
      <c r="K6" s="7" t="s">
        <v>18</v>
      </c>
      <c r="L6" s="7" t="s">
        <v>19</v>
      </c>
      <c r="M6" s="7" t="s">
        <v>20</v>
      </c>
      <c r="N6" s="7" t="s">
        <v>21</v>
      </c>
    </row>
    <row r="7" customFormat="false" ht="20.85" hidden="false" customHeight="false" outlineLevel="0" collapsed="false">
      <c r="A7" s="8" t="s">
        <v>22</v>
      </c>
      <c r="B7" s="9" t="s">
        <v>23</v>
      </c>
      <c r="C7" s="10" t="s">
        <v>7</v>
      </c>
      <c r="D7" s="10" t="s">
        <v>24</v>
      </c>
      <c r="E7" s="10" t="s">
        <v>25</v>
      </c>
      <c r="F7" s="10" t="s">
        <v>26</v>
      </c>
      <c r="G7" s="10" t="s">
        <v>27</v>
      </c>
      <c r="H7" s="10" t="s">
        <v>28</v>
      </c>
      <c r="I7" s="9" t="s">
        <v>29</v>
      </c>
      <c r="J7" s="11"/>
      <c r="K7" s="10" t="s">
        <v>30</v>
      </c>
      <c r="L7" s="10" t="s">
        <v>31</v>
      </c>
      <c r="M7" s="10" t="s">
        <v>32</v>
      </c>
      <c r="N7" s="9" t="s">
        <v>33</v>
      </c>
    </row>
    <row r="8" customFormat="false" ht="20.85" hidden="false" customHeight="false" outlineLevel="0" collapsed="false">
      <c r="A8" s="8" t="s">
        <v>34</v>
      </c>
      <c r="B8" s="9" t="s">
        <v>23</v>
      </c>
      <c r="C8" s="10" t="s">
        <v>5</v>
      </c>
      <c r="D8" s="10" t="s">
        <v>35</v>
      </c>
      <c r="E8" s="10" t="s">
        <v>36</v>
      </c>
      <c r="F8" s="10" t="s">
        <v>37</v>
      </c>
      <c r="G8" s="10" t="s">
        <v>38</v>
      </c>
      <c r="H8" s="10" t="s">
        <v>28</v>
      </c>
      <c r="I8" s="9" t="s">
        <v>29</v>
      </c>
      <c r="J8" s="11"/>
      <c r="K8" s="10" t="s">
        <v>30</v>
      </c>
      <c r="L8" s="10" t="s">
        <v>31</v>
      </c>
      <c r="M8" s="10" t="s">
        <v>32</v>
      </c>
      <c r="N8" s="9" t="s">
        <v>33</v>
      </c>
    </row>
    <row r="9" customFormat="false" ht="20.85" hidden="false" customHeight="false" outlineLevel="0" collapsed="false">
      <c r="A9" s="8" t="s">
        <v>39</v>
      </c>
      <c r="B9" s="9" t="s">
        <v>23</v>
      </c>
      <c r="C9" s="10" t="s">
        <v>6</v>
      </c>
      <c r="D9" s="10" t="s">
        <v>40</v>
      </c>
      <c r="E9" s="10" t="s">
        <v>41</v>
      </c>
      <c r="F9" s="10" t="s">
        <v>42</v>
      </c>
      <c r="G9" s="10" t="s">
        <v>43</v>
      </c>
      <c r="H9" s="10" t="s">
        <v>28</v>
      </c>
      <c r="I9" s="9" t="s">
        <v>29</v>
      </c>
      <c r="J9" s="11"/>
      <c r="K9" s="10" t="s">
        <v>30</v>
      </c>
      <c r="L9" s="10" t="s">
        <v>31</v>
      </c>
      <c r="M9" s="10" t="s">
        <v>44</v>
      </c>
      <c r="N9" s="9" t="s">
        <v>33</v>
      </c>
    </row>
    <row r="10" customFormat="false" ht="20.85" hidden="false" customHeight="false" outlineLevel="0" collapsed="false">
      <c r="A10" s="8" t="s">
        <v>45</v>
      </c>
      <c r="B10" s="9" t="s">
        <v>23</v>
      </c>
      <c r="C10" s="10" t="s">
        <v>7</v>
      </c>
      <c r="D10" s="10" t="s">
        <v>46</v>
      </c>
      <c r="E10" s="10" t="s">
        <v>47</v>
      </c>
      <c r="F10" s="10" t="s">
        <v>48</v>
      </c>
      <c r="G10" s="10" t="s">
        <v>49</v>
      </c>
      <c r="H10" s="10" t="s">
        <v>28</v>
      </c>
      <c r="I10" s="9" t="s">
        <v>29</v>
      </c>
      <c r="J10" s="11"/>
      <c r="K10" s="10" t="s">
        <v>30</v>
      </c>
      <c r="L10" s="10" t="s">
        <v>31</v>
      </c>
      <c r="M10" s="10" t="s">
        <v>50</v>
      </c>
      <c r="N10" s="9" t="s">
        <v>33</v>
      </c>
    </row>
    <row r="11" customFormat="false" ht="20.85" hidden="false" customHeight="false" outlineLevel="0" collapsed="false">
      <c r="A11" s="8" t="s">
        <v>51</v>
      </c>
      <c r="B11" s="9" t="s">
        <v>52</v>
      </c>
      <c r="C11" s="10" t="s">
        <v>7</v>
      </c>
      <c r="D11" s="10" t="s">
        <v>53</v>
      </c>
      <c r="E11" s="10" t="s">
        <v>54</v>
      </c>
      <c r="F11" s="10" t="s">
        <v>55</v>
      </c>
      <c r="G11" s="10" t="s">
        <v>56</v>
      </c>
      <c r="H11" s="10" t="s">
        <v>28</v>
      </c>
      <c r="I11" s="9" t="s">
        <v>29</v>
      </c>
      <c r="J11" s="11"/>
      <c r="K11" s="10" t="s">
        <v>30</v>
      </c>
      <c r="L11" s="10" t="s">
        <v>31</v>
      </c>
      <c r="M11" s="10" t="s">
        <v>57</v>
      </c>
      <c r="N11" s="9" t="s">
        <v>33</v>
      </c>
    </row>
    <row r="12" customFormat="false" ht="20.85" hidden="false" customHeight="false" outlineLevel="0" collapsed="false">
      <c r="A12" s="8" t="s">
        <v>58</v>
      </c>
      <c r="B12" s="9" t="s">
        <v>52</v>
      </c>
      <c r="C12" s="10" t="s">
        <v>5</v>
      </c>
      <c r="D12" s="10" t="s">
        <v>59</v>
      </c>
      <c r="E12" s="10" t="s">
        <v>60</v>
      </c>
      <c r="F12" s="10" t="s">
        <v>61</v>
      </c>
      <c r="G12" s="10" t="s">
        <v>62</v>
      </c>
      <c r="H12" s="10" t="s">
        <v>28</v>
      </c>
      <c r="I12" s="9" t="s">
        <v>29</v>
      </c>
      <c r="J12" s="11"/>
      <c r="K12" s="10" t="s">
        <v>30</v>
      </c>
      <c r="L12" s="10" t="s">
        <v>31</v>
      </c>
      <c r="M12" s="10" t="s">
        <v>63</v>
      </c>
      <c r="N12" s="9" t="s">
        <v>33</v>
      </c>
    </row>
    <row r="13" customFormat="false" ht="20.85" hidden="false" customHeight="false" outlineLevel="0" collapsed="false">
      <c r="A13" s="8" t="s">
        <v>64</v>
      </c>
      <c r="B13" s="9" t="s">
        <v>52</v>
      </c>
      <c r="C13" s="10" t="s">
        <v>6</v>
      </c>
      <c r="D13" s="10" t="s">
        <v>65</v>
      </c>
      <c r="E13" s="10" t="s">
        <v>66</v>
      </c>
      <c r="F13" s="10" t="s">
        <v>67</v>
      </c>
      <c r="G13" s="10" t="s">
        <v>68</v>
      </c>
      <c r="H13" s="10" t="s">
        <v>69</v>
      </c>
      <c r="I13" s="9" t="s">
        <v>70</v>
      </c>
      <c r="J13" s="11" t="n">
        <v>46294</v>
      </c>
      <c r="K13" s="10" t="s">
        <v>71</v>
      </c>
      <c r="L13" s="10" t="s">
        <v>72</v>
      </c>
      <c r="M13" s="10" t="s">
        <v>73</v>
      </c>
      <c r="N13" s="9" t="s">
        <v>33</v>
      </c>
    </row>
    <row r="14" customFormat="false" ht="20.85" hidden="false" customHeight="false" outlineLevel="0" collapsed="false">
      <c r="A14" s="8" t="s">
        <v>74</v>
      </c>
      <c r="B14" s="9" t="s">
        <v>52</v>
      </c>
      <c r="C14" s="10" t="s">
        <v>6</v>
      </c>
      <c r="D14" s="10" t="s">
        <v>75</v>
      </c>
      <c r="E14" s="10" t="s">
        <v>76</v>
      </c>
      <c r="F14" s="10" t="s">
        <v>77</v>
      </c>
      <c r="G14" s="10" t="s">
        <v>78</v>
      </c>
      <c r="H14" s="10" t="s">
        <v>79</v>
      </c>
      <c r="I14" s="9" t="s">
        <v>70</v>
      </c>
      <c r="J14" s="11" t="n">
        <v>46294</v>
      </c>
      <c r="K14" s="10" t="s">
        <v>71</v>
      </c>
      <c r="L14" s="10" t="s">
        <v>72</v>
      </c>
      <c r="M14" s="10" t="s">
        <v>80</v>
      </c>
      <c r="N14" s="9" t="s">
        <v>33</v>
      </c>
    </row>
    <row r="15" customFormat="false" ht="30.55" hidden="false" customHeight="false" outlineLevel="0" collapsed="false">
      <c r="A15" s="8" t="s">
        <v>81</v>
      </c>
      <c r="B15" s="9" t="s">
        <v>52</v>
      </c>
      <c r="C15" s="10" t="s">
        <v>7</v>
      </c>
      <c r="D15" s="10" t="s">
        <v>82</v>
      </c>
      <c r="E15" s="10" t="s">
        <v>83</v>
      </c>
      <c r="F15" s="10" t="s">
        <v>84</v>
      </c>
      <c r="G15" s="10" t="s">
        <v>85</v>
      </c>
      <c r="H15" s="10" t="s">
        <v>86</v>
      </c>
      <c r="I15" s="9" t="s">
        <v>70</v>
      </c>
      <c r="J15" s="11" t="n">
        <v>46294</v>
      </c>
      <c r="K15" s="10" t="s">
        <v>71</v>
      </c>
      <c r="L15" s="10" t="s">
        <v>72</v>
      </c>
      <c r="M15" s="10" t="s">
        <v>57</v>
      </c>
      <c r="N15" s="9" t="s">
        <v>33</v>
      </c>
    </row>
    <row r="16" customFormat="false" ht="30.55" hidden="false" customHeight="false" outlineLevel="0" collapsed="false">
      <c r="A16" s="8" t="s">
        <v>87</v>
      </c>
      <c r="B16" s="9" t="s">
        <v>88</v>
      </c>
      <c r="C16" s="10" t="s">
        <v>6</v>
      </c>
      <c r="D16" s="10" t="s">
        <v>89</v>
      </c>
      <c r="E16" s="10" t="s">
        <v>90</v>
      </c>
      <c r="F16" s="10" t="s">
        <v>91</v>
      </c>
      <c r="G16" s="10" t="s">
        <v>92</v>
      </c>
      <c r="H16" s="10" t="s">
        <v>28</v>
      </c>
      <c r="I16" s="9" t="s">
        <v>29</v>
      </c>
      <c r="J16" s="11"/>
      <c r="K16" s="10" t="s">
        <v>93</v>
      </c>
      <c r="L16" s="10" t="s">
        <v>72</v>
      </c>
      <c r="M16" s="10" t="s">
        <v>32</v>
      </c>
      <c r="N16" s="9" t="s">
        <v>33</v>
      </c>
    </row>
    <row r="17" customFormat="false" ht="20.85" hidden="false" customHeight="false" outlineLevel="0" collapsed="false">
      <c r="A17" s="8" t="s">
        <v>94</v>
      </c>
      <c r="B17" s="9" t="s">
        <v>88</v>
      </c>
      <c r="C17" s="10" t="s">
        <v>5</v>
      </c>
      <c r="D17" s="10" t="s">
        <v>95</v>
      </c>
      <c r="E17" s="10" t="s">
        <v>96</v>
      </c>
      <c r="F17" s="10" t="s">
        <v>97</v>
      </c>
      <c r="G17" s="10" t="s">
        <v>98</v>
      </c>
      <c r="H17" s="10" t="s">
        <v>28</v>
      </c>
      <c r="I17" s="9" t="s">
        <v>29</v>
      </c>
      <c r="J17" s="11"/>
      <c r="K17" s="10" t="s">
        <v>93</v>
      </c>
      <c r="L17" s="10" t="s">
        <v>72</v>
      </c>
      <c r="M17" s="10" t="s">
        <v>50</v>
      </c>
      <c r="N17" s="9" t="s">
        <v>33</v>
      </c>
    </row>
    <row r="18" customFormat="false" ht="30.55" hidden="false" customHeight="false" outlineLevel="0" collapsed="false">
      <c r="A18" s="8" t="s">
        <v>99</v>
      </c>
      <c r="B18" s="9" t="s">
        <v>88</v>
      </c>
      <c r="C18" s="10" t="s">
        <v>6</v>
      </c>
      <c r="D18" s="10" t="s">
        <v>100</v>
      </c>
      <c r="E18" s="10" t="s">
        <v>101</v>
      </c>
      <c r="F18" s="10" t="s">
        <v>102</v>
      </c>
      <c r="G18" s="10" t="s">
        <v>103</v>
      </c>
      <c r="H18" s="10" t="s">
        <v>28</v>
      </c>
      <c r="I18" s="9" t="s">
        <v>29</v>
      </c>
      <c r="J18" s="11"/>
      <c r="K18" s="10" t="s">
        <v>93</v>
      </c>
      <c r="L18" s="10" t="s">
        <v>72</v>
      </c>
      <c r="M18" s="10" t="s">
        <v>57</v>
      </c>
      <c r="N18" s="9" t="s">
        <v>33</v>
      </c>
    </row>
    <row r="19" customFormat="false" ht="20.85" hidden="false" customHeight="false" outlineLevel="0" collapsed="false">
      <c r="A19" s="8" t="s">
        <v>104</v>
      </c>
      <c r="B19" s="9" t="s">
        <v>23</v>
      </c>
      <c r="C19" s="10" t="s">
        <v>5</v>
      </c>
      <c r="D19" s="10" t="s">
        <v>105</v>
      </c>
      <c r="E19" s="10" t="s">
        <v>106</v>
      </c>
      <c r="F19" s="10" t="s">
        <v>107</v>
      </c>
      <c r="G19" s="10" t="s">
        <v>108</v>
      </c>
      <c r="H19" s="10" t="s">
        <v>28</v>
      </c>
      <c r="I19" s="9" t="s">
        <v>29</v>
      </c>
      <c r="J19" s="11"/>
      <c r="K19" s="10" t="s">
        <v>109</v>
      </c>
      <c r="L19" s="10" t="s">
        <v>31</v>
      </c>
      <c r="M19" s="10" t="s">
        <v>63</v>
      </c>
      <c r="N19" s="9" t="s">
        <v>33</v>
      </c>
    </row>
    <row r="20" customFormat="false" ht="20.85" hidden="false" customHeight="false" outlineLevel="0" collapsed="false">
      <c r="A20" s="8" t="s">
        <v>110</v>
      </c>
      <c r="B20" s="9" t="s">
        <v>23</v>
      </c>
      <c r="C20" s="10" t="s">
        <v>5</v>
      </c>
      <c r="D20" s="10" t="s">
        <v>111</v>
      </c>
      <c r="E20" s="10" t="s">
        <v>112</v>
      </c>
      <c r="F20" s="10" t="s">
        <v>113</v>
      </c>
      <c r="G20" s="10" t="s">
        <v>114</v>
      </c>
      <c r="H20" s="10" t="s">
        <v>28</v>
      </c>
      <c r="I20" s="9" t="s">
        <v>29</v>
      </c>
      <c r="J20" s="11"/>
      <c r="K20" s="10" t="s">
        <v>115</v>
      </c>
      <c r="L20" s="10" t="s">
        <v>31</v>
      </c>
      <c r="M20" s="10" t="s">
        <v>116</v>
      </c>
      <c r="N20" s="9" t="s">
        <v>117</v>
      </c>
    </row>
    <row r="21" customFormat="false" ht="20.85" hidden="false" customHeight="false" outlineLevel="0" collapsed="false">
      <c r="A21" s="8" t="s">
        <v>118</v>
      </c>
      <c r="B21" s="9" t="s">
        <v>23</v>
      </c>
      <c r="C21" s="10" t="s">
        <v>5</v>
      </c>
      <c r="D21" s="10" t="s">
        <v>119</v>
      </c>
      <c r="E21" s="10" t="s">
        <v>120</v>
      </c>
      <c r="F21" s="10" t="s">
        <v>121</v>
      </c>
      <c r="G21" s="10" t="s">
        <v>122</v>
      </c>
      <c r="H21" s="10" t="s">
        <v>28</v>
      </c>
      <c r="I21" s="9" t="s">
        <v>29</v>
      </c>
      <c r="J21" s="11"/>
      <c r="K21" s="10" t="s">
        <v>115</v>
      </c>
      <c r="L21" s="10" t="s">
        <v>31</v>
      </c>
      <c r="M21" s="10" t="s">
        <v>123</v>
      </c>
      <c r="N21" s="9" t="s">
        <v>117</v>
      </c>
    </row>
    <row r="22" customFormat="false" ht="20.85" hidden="false" customHeight="false" outlineLevel="0" collapsed="false">
      <c r="A22" s="8" t="s">
        <v>124</v>
      </c>
      <c r="B22" s="9" t="s">
        <v>23</v>
      </c>
      <c r="C22" s="10" t="s">
        <v>7</v>
      </c>
      <c r="D22" s="10" t="s">
        <v>125</v>
      </c>
      <c r="E22" s="10" t="s">
        <v>120</v>
      </c>
      <c r="F22" s="10" t="s">
        <v>126</v>
      </c>
      <c r="G22" s="10" t="s">
        <v>127</v>
      </c>
      <c r="H22" s="10" t="s">
        <v>28</v>
      </c>
      <c r="I22" s="9" t="s">
        <v>29</v>
      </c>
      <c r="J22" s="11"/>
      <c r="K22" s="10" t="s">
        <v>115</v>
      </c>
      <c r="L22" s="10" t="s">
        <v>31</v>
      </c>
      <c r="M22" s="10" t="s">
        <v>128</v>
      </c>
      <c r="N22" s="9" t="s">
        <v>117</v>
      </c>
    </row>
    <row r="23" customFormat="false" ht="20.85" hidden="false" customHeight="false" outlineLevel="0" collapsed="false">
      <c r="A23" s="8" t="s">
        <v>129</v>
      </c>
      <c r="B23" s="9" t="s">
        <v>52</v>
      </c>
      <c r="C23" s="10" t="s">
        <v>7</v>
      </c>
      <c r="D23" s="10" t="s">
        <v>130</v>
      </c>
      <c r="E23" s="10" t="s">
        <v>131</v>
      </c>
      <c r="F23" s="10" t="s">
        <v>132</v>
      </c>
      <c r="G23" s="10" t="s">
        <v>133</v>
      </c>
      <c r="H23" s="10" t="s">
        <v>28</v>
      </c>
      <c r="I23" s="9" t="s">
        <v>29</v>
      </c>
      <c r="J23" s="11"/>
      <c r="K23" s="10" t="s">
        <v>115</v>
      </c>
      <c r="L23" s="10" t="s">
        <v>31</v>
      </c>
      <c r="M23" s="10" t="s">
        <v>134</v>
      </c>
      <c r="N23" s="9" t="s">
        <v>117</v>
      </c>
    </row>
    <row r="24" customFormat="false" ht="20.85" hidden="false" customHeight="false" outlineLevel="0" collapsed="false">
      <c r="A24" s="8" t="s">
        <v>135</v>
      </c>
      <c r="B24" s="9" t="s">
        <v>52</v>
      </c>
      <c r="C24" s="10" t="s">
        <v>5</v>
      </c>
      <c r="D24" s="10" t="s">
        <v>136</v>
      </c>
      <c r="E24" s="10" t="s">
        <v>137</v>
      </c>
      <c r="F24" s="10" t="s">
        <v>138</v>
      </c>
      <c r="G24" s="10" t="s">
        <v>139</v>
      </c>
      <c r="H24" s="10" t="s">
        <v>28</v>
      </c>
      <c r="I24" s="9" t="s">
        <v>29</v>
      </c>
      <c r="J24" s="11"/>
      <c r="K24" s="10" t="s">
        <v>115</v>
      </c>
      <c r="L24" s="10" t="s">
        <v>31</v>
      </c>
      <c r="M24" s="10" t="s">
        <v>140</v>
      </c>
      <c r="N24" s="9" t="s">
        <v>117</v>
      </c>
    </row>
    <row r="25" customFormat="false" ht="20.85" hidden="false" customHeight="false" outlineLevel="0" collapsed="false">
      <c r="A25" s="8" t="s">
        <v>141</v>
      </c>
      <c r="B25" s="9" t="s">
        <v>23</v>
      </c>
      <c r="C25" s="10" t="s">
        <v>7</v>
      </c>
      <c r="D25" s="10" t="s">
        <v>142</v>
      </c>
      <c r="E25" s="10" t="s">
        <v>143</v>
      </c>
      <c r="F25" s="10" t="s">
        <v>144</v>
      </c>
      <c r="G25" s="10" t="s">
        <v>145</v>
      </c>
      <c r="H25" s="10" t="s">
        <v>28</v>
      </c>
      <c r="I25" s="9" t="s">
        <v>29</v>
      </c>
      <c r="J25" s="11"/>
      <c r="K25" s="10" t="s">
        <v>115</v>
      </c>
      <c r="L25" s="10" t="s">
        <v>31</v>
      </c>
      <c r="M25" s="10" t="s">
        <v>146</v>
      </c>
      <c r="N25" s="9" t="s">
        <v>117</v>
      </c>
    </row>
    <row r="26" customFormat="false" ht="20.85" hidden="false" customHeight="false" outlineLevel="0" collapsed="false">
      <c r="A26" s="8" t="s">
        <v>147</v>
      </c>
      <c r="B26" s="9" t="s">
        <v>52</v>
      </c>
      <c r="C26" s="10" t="s">
        <v>6</v>
      </c>
      <c r="D26" s="10" t="s">
        <v>148</v>
      </c>
      <c r="E26" s="10" t="s">
        <v>149</v>
      </c>
      <c r="F26" s="10" t="s">
        <v>150</v>
      </c>
      <c r="G26" s="10" t="s">
        <v>151</v>
      </c>
      <c r="H26" s="10" t="s">
        <v>152</v>
      </c>
      <c r="I26" s="9" t="s">
        <v>70</v>
      </c>
      <c r="J26" s="11" t="n">
        <v>46294</v>
      </c>
      <c r="K26" s="10" t="s">
        <v>71</v>
      </c>
      <c r="L26" s="10" t="s">
        <v>72</v>
      </c>
      <c r="M26" s="10" t="s">
        <v>153</v>
      </c>
      <c r="N26" s="9" t="s">
        <v>117</v>
      </c>
    </row>
    <row r="27" customFormat="false" ht="30.55" hidden="false" customHeight="false" outlineLevel="0" collapsed="false">
      <c r="A27" s="8" t="s">
        <v>154</v>
      </c>
      <c r="B27" s="9" t="s">
        <v>52</v>
      </c>
      <c r="C27" s="10" t="s">
        <v>7</v>
      </c>
      <c r="D27" s="10" t="s">
        <v>155</v>
      </c>
      <c r="E27" s="10" t="s">
        <v>156</v>
      </c>
      <c r="F27" s="10" t="s">
        <v>157</v>
      </c>
      <c r="G27" s="10" t="s">
        <v>158</v>
      </c>
      <c r="H27" s="10" t="s">
        <v>159</v>
      </c>
      <c r="I27" s="9" t="s">
        <v>70</v>
      </c>
      <c r="J27" s="11" t="n">
        <v>46294</v>
      </c>
      <c r="K27" s="10" t="s">
        <v>71</v>
      </c>
      <c r="L27" s="10" t="s">
        <v>72</v>
      </c>
      <c r="M27" s="10" t="s">
        <v>160</v>
      </c>
      <c r="N27" s="9" t="s">
        <v>117</v>
      </c>
    </row>
    <row r="28" customFormat="false" ht="20.85" hidden="false" customHeight="false" outlineLevel="0" collapsed="false">
      <c r="A28" s="8" t="s">
        <v>161</v>
      </c>
      <c r="B28" s="9" t="s">
        <v>52</v>
      </c>
      <c r="C28" s="10" t="s">
        <v>6</v>
      </c>
      <c r="D28" s="10" t="s">
        <v>162</v>
      </c>
      <c r="E28" s="10" t="s">
        <v>163</v>
      </c>
      <c r="F28" s="10" t="s">
        <v>164</v>
      </c>
      <c r="G28" s="10" t="s">
        <v>165</v>
      </c>
      <c r="H28" s="10" t="s">
        <v>166</v>
      </c>
      <c r="I28" s="9" t="s">
        <v>70</v>
      </c>
      <c r="J28" s="11" t="n">
        <v>46294</v>
      </c>
      <c r="K28" s="10" t="s">
        <v>71</v>
      </c>
      <c r="L28" s="10" t="s">
        <v>72</v>
      </c>
      <c r="M28" s="10" t="s">
        <v>140</v>
      </c>
      <c r="N28" s="9" t="s">
        <v>117</v>
      </c>
    </row>
    <row r="29" customFormat="false" ht="40.25" hidden="false" customHeight="false" outlineLevel="0" collapsed="false">
      <c r="A29" s="8" t="s">
        <v>167</v>
      </c>
      <c r="B29" s="9" t="s">
        <v>52</v>
      </c>
      <c r="C29" s="10" t="s">
        <v>7</v>
      </c>
      <c r="D29" s="10" t="s">
        <v>168</v>
      </c>
      <c r="E29" s="10" t="s">
        <v>163</v>
      </c>
      <c r="F29" s="10" t="s">
        <v>169</v>
      </c>
      <c r="G29" s="10" t="s">
        <v>170</v>
      </c>
      <c r="H29" s="10" t="s">
        <v>171</v>
      </c>
      <c r="I29" s="9" t="s">
        <v>172</v>
      </c>
      <c r="J29" s="11" t="n">
        <v>46294</v>
      </c>
      <c r="K29" s="10" t="s">
        <v>173</v>
      </c>
      <c r="L29" s="10" t="s">
        <v>72</v>
      </c>
      <c r="M29" s="10" t="s">
        <v>174</v>
      </c>
      <c r="N29" s="9" t="s">
        <v>117</v>
      </c>
    </row>
    <row r="30" customFormat="false" ht="20.85" hidden="false" customHeight="false" outlineLevel="0" collapsed="false">
      <c r="A30" s="8" t="s">
        <v>175</v>
      </c>
      <c r="B30" s="9" t="s">
        <v>88</v>
      </c>
      <c r="C30" s="10" t="s">
        <v>5</v>
      </c>
      <c r="D30" s="10" t="s">
        <v>176</v>
      </c>
      <c r="E30" s="10" t="s">
        <v>177</v>
      </c>
      <c r="F30" s="10" t="s">
        <v>178</v>
      </c>
      <c r="G30" s="10" t="s">
        <v>179</v>
      </c>
      <c r="H30" s="10" t="s">
        <v>28</v>
      </c>
      <c r="I30" s="9" t="s">
        <v>29</v>
      </c>
      <c r="J30" s="11"/>
      <c r="K30" s="10" t="s">
        <v>93</v>
      </c>
      <c r="L30" s="10" t="s">
        <v>72</v>
      </c>
      <c r="M30" s="10" t="s">
        <v>123</v>
      </c>
      <c r="N30" s="9" t="s">
        <v>117</v>
      </c>
    </row>
    <row r="31" customFormat="false" ht="20.85" hidden="false" customHeight="false" outlineLevel="0" collapsed="false">
      <c r="A31" s="8" t="s">
        <v>180</v>
      </c>
      <c r="B31" s="9" t="s">
        <v>88</v>
      </c>
      <c r="C31" s="10" t="s">
        <v>5</v>
      </c>
      <c r="D31" s="10" t="s">
        <v>181</v>
      </c>
      <c r="E31" s="10" t="s">
        <v>182</v>
      </c>
      <c r="F31" s="10" t="s">
        <v>183</v>
      </c>
      <c r="G31" s="10" t="s">
        <v>184</v>
      </c>
      <c r="H31" s="10" t="s">
        <v>28</v>
      </c>
      <c r="I31" s="9" t="s">
        <v>29</v>
      </c>
      <c r="J31" s="11"/>
      <c r="K31" s="10" t="s">
        <v>93</v>
      </c>
      <c r="L31" s="10" t="s">
        <v>72</v>
      </c>
      <c r="M31" s="10" t="s">
        <v>134</v>
      </c>
      <c r="N31" s="9" t="s">
        <v>117</v>
      </c>
    </row>
    <row r="32" customFormat="false" ht="20.85" hidden="false" customHeight="false" outlineLevel="0" collapsed="false">
      <c r="A32" s="8" t="s">
        <v>185</v>
      </c>
      <c r="B32" s="9" t="s">
        <v>23</v>
      </c>
      <c r="C32" s="10" t="s">
        <v>6</v>
      </c>
      <c r="D32" s="10" t="s">
        <v>186</v>
      </c>
      <c r="E32" s="10" t="s">
        <v>187</v>
      </c>
      <c r="F32" s="10" t="s">
        <v>188</v>
      </c>
      <c r="G32" s="10" t="s">
        <v>189</v>
      </c>
      <c r="H32" s="10" t="s">
        <v>28</v>
      </c>
      <c r="I32" s="9" t="s">
        <v>29</v>
      </c>
      <c r="J32" s="11"/>
      <c r="K32" s="10" t="s">
        <v>190</v>
      </c>
      <c r="L32" s="10" t="s">
        <v>31</v>
      </c>
      <c r="M32" s="10" t="s">
        <v>191</v>
      </c>
      <c r="N32" s="9" t="s">
        <v>192</v>
      </c>
    </row>
    <row r="33" customFormat="false" ht="20.85" hidden="false" customHeight="false" outlineLevel="0" collapsed="false">
      <c r="A33" s="8" t="s">
        <v>193</v>
      </c>
      <c r="B33" s="9" t="s">
        <v>23</v>
      </c>
      <c r="C33" s="10" t="s">
        <v>5</v>
      </c>
      <c r="D33" s="10" t="s">
        <v>194</v>
      </c>
      <c r="E33" s="10" t="s">
        <v>195</v>
      </c>
      <c r="F33" s="10" t="s">
        <v>196</v>
      </c>
      <c r="G33" s="10" t="s">
        <v>197</v>
      </c>
      <c r="H33" s="10" t="s">
        <v>28</v>
      </c>
      <c r="I33" s="9" t="s">
        <v>29</v>
      </c>
      <c r="J33" s="11"/>
      <c r="K33" s="10" t="s">
        <v>190</v>
      </c>
      <c r="L33" s="10" t="s">
        <v>31</v>
      </c>
      <c r="M33" s="10" t="s">
        <v>198</v>
      </c>
      <c r="N33" s="9" t="s">
        <v>192</v>
      </c>
    </row>
    <row r="34" customFormat="false" ht="20.85" hidden="false" customHeight="false" outlineLevel="0" collapsed="false">
      <c r="A34" s="8" t="s">
        <v>199</v>
      </c>
      <c r="B34" s="9" t="s">
        <v>23</v>
      </c>
      <c r="C34" s="10" t="s">
        <v>7</v>
      </c>
      <c r="D34" s="10" t="s">
        <v>200</v>
      </c>
      <c r="E34" s="10" t="s">
        <v>201</v>
      </c>
      <c r="F34" s="10" t="s">
        <v>202</v>
      </c>
      <c r="G34" s="10" t="s">
        <v>203</v>
      </c>
      <c r="H34" s="10" t="s">
        <v>28</v>
      </c>
      <c r="I34" s="9" t="s">
        <v>29</v>
      </c>
      <c r="J34" s="11"/>
      <c r="K34" s="10" t="s">
        <v>190</v>
      </c>
      <c r="L34" s="10" t="s">
        <v>31</v>
      </c>
      <c r="M34" s="10" t="s">
        <v>204</v>
      </c>
      <c r="N34" s="9" t="s">
        <v>192</v>
      </c>
    </row>
    <row r="35" customFormat="false" ht="20.85" hidden="false" customHeight="false" outlineLevel="0" collapsed="false">
      <c r="A35" s="8" t="s">
        <v>205</v>
      </c>
      <c r="B35" s="9" t="s">
        <v>52</v>
      </c>
      <c r="C35" s="10" t="s">
        <v>6</v>
      </c>
      <c r="D35" s="10" t="s">
        <v>206</v>
      </c>
      <c r="E35" s="10" t="s">
        <v>207</v>
      </c>
      <c r="F35" s="10" t="s">
        <v>208</v>
      </c>
      <c r="G35" s="10" t="s">
        <v>209</v>
      </c>
      <c r="H35" s="10" t="s">
        <v>28</v>
      </c>
      <c r="I35" s="9" t="s">
        <v>29</v>
      </c>
      <c r="J35" s="11"/>
      <c r="K35" s="10" t="s">
        <v>190</v>
      </c>
      <c r="L35" s="10" t="s">
        <v>31</v>
      </c>
      <c r="M35" s="10" t="s">
        <v>210</v>
      </c>
      <c r="N35" s="9" t="s">
        <v>192</v>
      </c>
    </row>
    <row r="36" customFormat="false" ht="20.85" hidden="false" customHeight="false" outlineLevel="0" collapsed="false">
      <c r="A36" s="8" t="s">
        <v>211</v>
      </c>
      <c r="B36" s="9" t="s">
        <v>52</v>
      </c>
      <c r="C36" s="10" t="s">
        <v>6</v>
      </c>
      <c r="D36" s="10" t="s">
        <v>212</v>
      </c>
      <c r="E36" s="10" t="s">
        <v>213</v>
      </c>
      <c r="F36" s="10" t="s">
        <v>214</v>
      </c>
      <c r="G36" s="10" t="s">
        <v>215</v>
      </c>
      <c r="H36" s="10" t="s">
        <v>28</v>
      </c>
      <c r="I36" s="9" t="s">
        <v>29</v>
      </c>
      <c r="J36" s="11"/>
      <c r="K36" s="10" t="s">
        <v>190</v>
      </c>
      <c r="L36" s="10" t="s">
        <v>31</v>
      </c>
      <c r="M36" s="10" t="s">
        <v>216</v>
      </c>
      <c r="N36" s="9" t="s">
        <v>192</v>
      </c>
    </row>
    <row r="37" customFormat="false" ht="20.85" hidden="false" customHeight="false" outlineLevel="0" collapsed="false">
      <c r="A37" s="8" t="s">
        <v>217</v>
      </c>
      <c r="B37" s="9" t="s">
        <v>52</v>
      </c>
      <c r="C37" s="10" t="s">
        <v>5</v>
      </c>
      <c r="D37" s="10" t="s">
        <v>218</v>
      </c>
      <c r="E37" s="10" t="s">
        <v>219</v>
      </c>
      <c r="F37" s="10" t="s">
        <v>220</v>
      </c>
      <c r="G37" s="10" t="s">
        <v>221</v>
      </c>
      <c r="H37" s="10" t="s">
        <v>28</v>
      </c>
      <c r="I37" s="9" t="s">
        <v>29</v>
      </c>
      <c r="J37" s="11"/>
      <c r="K37" s="10" t="s">
        <v>190</v>
      </c>
      <c r="L37" s="10" t="s">
        <v>31</v>
      </c>
      <c r="M37" s="10" t="s">
        <v>222</v>
      </c>
      <c r="N37" s="9" t="s">
        <v>192</v>
      </c>
    </row>
    <row r="38" customFormat="false" ht="20.85" hidden="false" customHeight="false" outlineLevel="0" collapsed="false">
      <c r="A38" s="8" t="s">
        <v>223</v>
      </c>
      <c r="B38" s="9" t="s">
        <v>23</v>
      </c>
      <c r="C38" s="10" t="s">
        <v>7</v>
      </c>
      <c r="D38" s="10" t="s">
        <v>224</v>
      </c>
      <c r="E38" s="10" t="s">
        <v>225</v>
      </c>
      <c r="F38" s="10" t="s">
        <v>226</v>
      </c>
      <c r="G38" s="10" t="s">
        <v>227</v>
      </c>
      <c r="H38" s="10" t="s">
        <v>228</v>
      </c>
      <c r="I38" s="9" t="s">
        <v>70</v>
      </c>
      <c r="J38" s="11" t="n">
        <v>46294</v>
      </c>
      <c r="K38" s="10" t="s">
        <v>71</v>
      </c>
      <c r="L38" s="10" t="s">
        <v>72</v>
      </c>
      <c r="M38" s="10" t="s">
        <v>191</v>
      </c>
      <c r="N38" s="9" t="s">
        <v>192</v>
      </c>
    </row>
    <row r="39" customFormat="false" ht="20.85" hidden="false" customHeight="false" outlineLevel="0" collapsed="false">
      <c r="A39" s="8" t="s">
        <v>229</v>
      </c>
      <c r="B39" s="9" t="s">
        <v>23</v>
      </c>
      <c r="C39" s="10" t="s">
        <v>6</v>
      </c>
      <c r="D39" s="10" t="s">
        <v>230</v>
      </c>
      <c r="E39" s="10" t="s">
        <v>225</v>
      </c>
      <c r="F39" s="10" t="s">
        <v>231</v>
      </c>
      <c r="G39" s="10" t="s">
        <v>232</v>
      </c>
      <c r="H39" s="10" t="s">
        <v>233</v>
      </c>
      <c r="I39" s="9" t="s">
        <v>70</v>
      </c>
      <c r="J39" s="11" t="n">
        <v>46294</v>
      </c>
      <c r="K39" s="10" t="s">
        <v>71</v>
      </c>
      <c r="L39" s="10" t="s">
        <v>72</v>
      </c>
      <c r="M39" s="10" t="s">
        <v>234</v>
      </c>
      <c r="N39" s="9" t="s">
        <v>192</v>
      </c>
    </row>
    <row r="40" customFormat="false" ht="20.85" hidden="false" customHeight="false" outlineLevel="0" collapsed="false">
      <c r="A40" s="8" t="s">
        <v>235</v>
      </c>
      <c r="B40" s="9" t="s">
        <v>52</v>
      </c>
      <c r="C40" s="10" t="s">
        <v>6</v>
      </c>
      <c r="D40" s="10" t="s">
        <v>236</v>
      </c>
      <c r="E40" s="10" t="s">
        <v>237</v>
      </c>
      <c r="F40" s="10" t="s">
        <v>238</v>
      </c>
      <c r="G40" s="10" t="s">
        <v>239</v>
      </c>
      <c r="H40" s="10" t="s">
        <v>240</v>
      </c>
      <c r="I40" s="9" t="s">
        <v>70</v>
      </c>
      <c r="J40" s="11" t="n">
        <v>46294</v>
      </c>
      <c r="K40" s="10" t="s">
        <v>71</v>
      </c>
      <c r="L40" s="10" t="s">
        <v>72</v>
      </c>
      <c r="M40" s="10" t="s">
        <v>241</v>
      </c>
      <c r="N40" s="9" t="s">
        <v>192</v>
      </c>
    </row>
    <row r="41" customFormat="false" ht="30.55" hidden="false" customHeight="false" outlineLevel="0" collapsed="false">
      <c r="A41" s="8" t="s">
        <v>242</v>
      </c>
      <c r="B41" s="9" t="s">
        <v>52</v>
      </c>
      <c r="C41" s="10" t="s">
        <v>6</v>
      </c>
      <c r="D41" s="10" t="s">
        <v>243</v>
      </c>
      <c r="E41" s="10" t="s">
        <v>244</v>
      </c>
      <c r="F41" s="10" t="s">
        <v>245</v>
      </c>
      <c r="G41" s="10" t="s">
        <v>246</v>
      </c>
      <c r="H41" s="10" t="s">
        <v>247</v>
      </c>
      <c r="I41" s="9" t="s">
        <v>70</v>
      </c>
      <c r="J41" s="11" t="n">
        <v>46294</v>
      </c>
      <c r="K41" s="10" t="s">
        <v>71</v>
      </c>
      <c r="L41" s="10" t="s">
        <v>72</v>
      </c>
      <c r="M41" s="10" t="s">
        <v>216</v>
      </c>
      <c r="N41" s="9" t="s">
        <v>192</v>
      </c>
    </row>
    <row r="42" customFormat="false" ht="20.85" hidden="false" customHeight="false" outlineLevel="0" collapsed="false">
      <c r="A42" s="8" t="s">
        <v>248</v>
      </c>
      <c r="B42" s="9" t="s">
        <v>52</v>
      </c>
      <c r="C42" s="10" t="s">
        <v>7</v>
      </c>
      <c r="D42" s="10" t="s">
        <v>249</v>
      </c>
      <c r="E42" s="10" t="s">
        <v>250</v>
      </c>
      <c r="F42" s="10" t="s">
        <v>251</v>
      </c>
      <c r="G42" s="10" t="s">
        <v>252</v>
      </c>
      <c r="H42" s="10" t="s">
        <v>253</v>
      </c>
      <c r="I42" s="9" t="s">
        <v>70</v>
      </c>
      <c r="J42" s="11" t="n">
        <v>46294</v>
      </c>
      <c r="K42" s="10" t="s">
        <v>71</v>
      </c>
      <c r="L42" s="10" t="s">
        <v>72</v>
      </c>
      <c r="M42" s="10" t="s">
        <v>216</v>
      </c>
      <c r="N42" s="9" t="s">
        <v>192</v>
      </c>
    </row>
    <row r="43" customFormat="false" ht="30.55" hidden="false" customHeight="false" outlineLevel="0" collapsed="false">
      <c r="A43" s="8" t="s">
        <v>254</v>
      </c>
      <c r="B43" s="9" t="s">
        <v>52</v>
      </c>
      <c r="C43" s="10" t="s">
        <v>5</v>
      </c>
      <c r="D43" s="10" t="s">
        <v>255</v>
      </c>
      <c r="E43" s="10" t="s">
        <v>256</v>
      </c>
      <c r="F43" s="10" t="s">
        <v>257</v>
      </c>
      <c r="G43" s="10" t="s">
        <v>258</v>
      </c>
      <c r="H43" s="10" t="s">
        <v>259</v>
      </c>
      <c r="I43" s="9" t="s">
        <v>70</v>
      </c>
      <c r="J43" s="11" t="n">
        <v>46294</v>
      </c>
      <c r="K43" s="10" t="s">
        <v>71</v>
      </c>
      <c r="L43" s="10" t="s">
        <v>72</v>
      </c>
      <c r="M43" s="10" t="s">
        <v>260</v>
      </c>
      <c r="N43" s="9" t="s">
        <v>192</v>
      </c>
    </row>
    <row r="44" customFormat="false" ht="30.55" hidden="false" customHeight="false" outlineLevel="0" collapsed="false">
      <c r="A44" s="8" t="s">
        <v>261</v>
      </c>
      <c r="B44" s="9" t="s">
        <v>52</v>
      </c>
      <c r="C44" s="10" t="s">
        <v>7</v>
      </c>
      <c r="D44" s="10" t="s">
        <v>262</v>
      </c>
      <c r="E44" s="10" t="s">
        <v>256</v>
      </c>
      <c r="F44" s="10" t="s">
        <v>263</v>
      </c>
      <c r="G44" s="10" t="s">
        <v>264</v>
      </c>
      <c r="H44" s="10" t="s">
        <v>265</v>
      </c>
      <c r="I44" s="9" t="s">
        <v>70</v>
      </c>
      <c r="J44" s="11" t="n">
        <v>46294</v>
      </c>
      <c r="K44" s="10" t="s">
        <v>71</v>
      </c>
      <c r="L44" s="10" t="s">
        <v>72</v>
      </c>
      <c r="M44" s="10" t="s">
        <v>222</v>
      </c>
      <c r="N44" s="9" t="s">
        <v>192</v>
      </c>
    </row>
    <row r="45" customFormat="false" ht="30.55" hidden="false" customHeight="false" outlineLevel="0" collapsed="false">
      <c r="A45" s="8" t="s">
        <v>266</v>
      </c>
      <c r="B45" s="9" t="s">
        <v>88</v>
      </c>
      <c r="C45" s="10" t="s">
        <v>6</v>
      </c>
      <c r="D45" s="10" t="s">
        <v>267</v>
      </c>
      <c r="E45" s="10" t="s">
        <v>268</v>
      </c>
      <c r="F45" s="10" t="s">
        <v>269</v>
      </c>
      <c r="G45" s="10" t="s">
        <v>270</v>
      </c>
      <c r="H45" s="10" t="s">
        <v>28</v>
      </c>
      <c r="I45" s="9" t="s">
        <v>29</v>
      </c>
      <c r="J45" s="11"/>
      <c r="K45" s="10" t="s">
        <v>93</v>
      </c>
      <c r="L45" s="10" t="s">
        <v>72</v>
      </c>
      <c r="M45" s="10" t="s">
        <v>271</v>
      </c>
      <c r="N45" s="9" t="s">
        <v>192</v>
      </c>
    </row>
    <row r="46" customFormat="false" ht="49.95" hidden="false" customHeight="false" outlineLevel="0" collapsed="false">
      <c r="A46" s="8" t="s">
        <v>272</v>
      </c>
      <c r="B46" s="9" t="s">
        <v>88</v>
      </c>
      <c r="C46" s="10" t="s">
        <v>7</v>
      </c>
      <c r="D46" s="10" t="s">
        <v>273</v>
      </c>
      <c r="E46" s="10" t="s">
        <v>274</v>
      </c>
      <c r="F46" s="10" t="s">
        <v>275</v>
      </c>
      <c r="G46" s="10" t="s">
        <v>276</v>
      </c>
      <c r="H46" s="10" t="s">
        <v>28</v>
      </c>
      <c r="I46" s="9" t="s">
        <v>29</v>
      </c>
      <c r="J46" s="11"/>
      <c r="K46" s="10" t="s">
        <v>93</v>
      </c>
      <c r="L46" s="10" t="s">
        <v>72</v>
      </c>
      <c r="M46" s="10" t="s">
        <v>277</v>
      </c>
      <c r="N46" s="9" t="s">
        <v>192</v>
      </c>
    </row>
    <row r="47" customFormat="false" ht="20.85" hidden="false" customHeight="false" outlineLevel="0" collapsed="false">
      <c r="A47" s="8" t="s">
        <v>278</v>
      </c>
      <c r="B47" s="9" t="s">
        <v>52</v>
      </c>
      <c r="C47" s="10" t="s">
        <v>5</v>
      </c>
      <c r="D47" s="10" t="s">
        <v>279</v>
      </c>
      <c r="E47" s="10" t="s">
        <v>280</v>
      </c>
      <c r="F47" s="10" t="s">
        <v>281</v>
      </c>
      <c r="G47" s="10" t="s">
        <v>282</v>
      </c>
      <c r="H47" s="10" t="s">
        <v>28</v>
      </c>
      <c r="I47" s="9" t="s">
        <v>29</v>
      </c>
      <c r="J47" s="11"/>
      <c r="K47" s="10" t="s">
        <v>283</v>
      </c>
      <c r="L47" s="10" t="s">
        <v>31</v>
      </c>
      <c r="M47" s="10" t="s">
        <v>57</v>
      </c>
      <c r="N47" s="9" t="s">
        <v>192</v>
      </c>
    </row>
    <row r="48" customFormat="false" ht="20.85" hidden="false" customHeight="false" outlineLevel="0" collapsed="false">
      <c r="A48" s="8" t="s">
        <v>284</v>
      </c>
      <c r="B48" s="9" t="s">
        <v>23</v>
      </c>
      <c r="C48" s="10" t="s">
        <v>5</v>
      </c>
      <c r="D48" s="10" t="s">
        <v>285</v>
      </c>
      <c r="E48" s="10" t="s">
        <v>286</v>
      </c>
      <c r="F48" s="10" t="s">
        <v>287</v>
      </c>
      <c r="G48" s="10" t="s">
        <v>288</v>
      </c>
      <c r="H48" s="10" t="s">
        <v>28</v>
      </c>
      <c r="I48" s="9" t="s">
        <v>29</v>
      </c>
      <c r="J48" s="11"/>
      <c r="K48" s="10" t="s">
        <v>289</v>
      </c>
      <c r="L48" s="10" t="s">
        <v>31</v>
      </c>
      <c r="M48" s="10" t="s">
        <v>290</v>
      </c>
      <c r="N48" s="9" t="s">
        <v>291</v>
      </c>
    </row>
    <row r="49" customFormat="false" ht="20.85" hidden="false" customHeight="false" outlineLevel="0" collapsed="false">
      <c r="A49" s="8" t="s">
        <v>292</v>
      </c>
      <c r="B49" s="9" t="s">
        <v>23</v>
      </c>
      <c r="C49" s="10" t="s">
        <v>7</v>
      </c>
      <c r="D49" s="10" t="s">
        <v>293</v>
      </c>
      <c r="E49" s="10" t="s">
        <v>294</v>
      </c>
      <c r="F49" s="10" t="s">
        <v>295</v>
      </c>
      <c r="G49" s="10" t="s">
        <v>296</v>
      </c>
      <c r="H49" s="10" t="s">
        <v>28</v>
      </c>
      <c r="I49" s="9" t="s">
        <v>29</v>
      </c>
      <c r="J49" s="11"/>
      <c r="K49" s="10" t="s">
        <v>289</v>
      </c>
      <c r="L49" s="10" t="s">
        <v>31</v>
      </c>
      <c r="M49" s="10" t="s">
        <v>290</v>
      </c>
      <c r="N49" s="9" t="s">
        <v>291</v>
      </c>
    </row>
    <row r="50" customFormat="false" ht="20.85" hidden="false" customHeight="false" outlineLevel="0" collapsed="false">
      <c r="A50" s="8" t="s">
        <v>297</v>
      </c>
      <c r="B50" s="9" t="s">
        <v>52</v>
      </c>
      <c r="C50" s="10" t="s">
        <v>6</v>
      </c>
      <c r="D50" s="10" t="s">
        <v>298</v>
      </c>
      <c r="E50" s="10" t="s">
        <v>299</v>
      </c>
      <c r="F50" s="10" t="s">
        <v>300</v>
      </c>
      <c r="G50" s="10" t="s">
        <v>301</v>
      </c>
      <c r="H50" s="10" t="s">
        <v>28</v>
      </c>
      <c r="I50" s="9" t="s">
        <v>29</v>
      </c>
      <c r="J50" s="11"/>
      <c r="K50" s="10" t="s">
        <v>289</v>
      </c>
      <c r="L50" s="10" t="s">
        <v>31</v>
      </c>
      <c r="M50" s="10" t="s">
        <v>302</v>
      </c>
      <c r="N50" s="9" t="s">
        <v>291</v>
      </c>
    </row>
    <row r="51" customFormat="false" ht="20.85" hidden="false" customHeight="false" outlineLevel="0" collapsed="false">
      <c r="A51" s="8" t="s">
        <v>303</v>
      </c>
      <c r="B51" s="9" t="s">
        <v>52</v>
      </c>
      <c r="C51" s="10" t="s">
        <v>5</v>
      </c>
      <c r="D51" s="10" t="s">
        <v>304</v>
      </c>
      <c r="E51" s="10" t="s">
        <v>294</v>
      </c>
      <c r="F51" s="10" t="s">
        <v>305</v>
      </c>
      <c r="G51" s="10" t="s">
        <v>306</v>
      </c>
      <c r="H51" s="10" t="s">
        <v>28</v>
      </c>
      <c r="I51" s="9" t="s">
        <v>29</v>
      </c>
      <c r="J51" s="11"/>
      <c r="K51" s="10" t="s">
        <v>289</v>
      </c>
      <c r="L51" s="10" t="s">
        <v>31</v>
      </c>
      <c r="M51" s="10" t="s">
        <v>302</v>
      </c>
      <c r="N51" s="9" t="s">
        <v>291</v>
      </c>
    </row>
    <row r="52" customFormat="false" ht="20.85" hidden="false" customHeight="false" outlineLevel="0" collapsed="false">
      <c r="A52" s="8" t="s">
        <v>307</v>
      </c>
      <c r="B52" s="9" t="s">
        <v>52</v>
      </c>
      <c r="C52" s="10" t="s">
        <v>7</v>
      </c>
      <c r="D52" s="10" t="s">
        <v>308</v>
      </c>
      <c r="E52" s="10" t="s">
        <v>309</v>
      </c>
      <c r="F52" s="10" t="s">
        <v>310</v>
      </c>
      <c r="G52" s="10" t="s">
        <v>311</v>
      </c>
      <c r="H52" s="10" t="s">
        <v>28</v>
      </c>
      <c r="I52" s="9" t="s">
        <v>29</v>
      </c>
      <c r="J52" s="11"/>
      <c r="K52" s="10" t="s">
        <v>289</v>
      </c>
      <c r="L52" s="10" t="s">
        <v>31</v>
      </c>
      <c r="M52" s="10" t="s">
        <v>312</v>
      </c>
      <c r="N52" s="9" t="s">
        <v>291</v>
      </c>
    </row>
    <row r="53" customFormat="false" ht="20.85" hidden="false" customHeight="false" outlineLevel="0" collapsed="false">
      <c r="A53" s="8" t="s">
        <v>313</v>
      </c>
      <c r="B53" s="9" t="s">
        <v>23</v>
      </c>
      <c r="C53" s="10" t="s">
        <v>6</v>
      </c>
      <c r="D53" s="10" t="s">
        <v>314</v>
      </c>
      <c r="E53" s="10" t="s">
        <v>315</v>
      </c>
      <c r="F53" s="10" t="s">
        <v>316</v>
      </c>
      <c r="G53" s="10" t="s">
        <v>317</v>
      </c>
      <c r="H53" s="10" t="s">
        <v>318</v>
      </c>
      <c r="I53" s="9" t="s">
        <v>70</v>
      </c>
      <c r="J53" s="11" t="n">
        <v>46294</v>
      </c>
      <c r="K53" s="10" t="s">
        <v>71</v>
      </c>
      <c r="L53" s="10" t="s">
        <v>72</v>
      </c>
      <c r="M53" s="10" t="s">
        <v>290</v>
      </c>
      <c r="N53" s="9" t="s">
        <v>291</v>
      </c>
    </row>
    <row r="54" customFormat="false" ht="40.25" hidden="false" customHeight="false" outlineLevel="0" collapsed="false">
      <c r="A54" s="8" t="s">
        <v>319</v>
      </c>
      <c r="B54" s="9" t="s">
        <v>23</v>
      </c>
      <c r="C54" s="10" t="s">
        <v>7</v>
      </c>
      <c r="D54" s="10" t="s">
        <v>320</v>
      </c>
      <c r="E54" s="10" t="s">
        <v>321</v>
      </c>
      <c r="F54" s="10" t="s">
        <v>322</v>
      </c>
      <c r="G54" s="10" t="s">
        <v>323</v>
      </c>
      <c r="H54" s="10" t="s">
        <v>324</v>
      </c>
      <c r="I54" s="9" t="s">
        <v>70</v>
      </c>
      <c r="J54" s="11" t="n">
        <v>46294</v>
      </c>
      <c r="K54" s="10" t="s">
        <v>325</v>
      </c>
      <c r="L54" s="10" t="s">
        <v>72</v>
      </c>
      <c r="M54" s="10" t="s">
        <v>290</v>
      </c>
      <c r="N54" s="9" t="s">
        <v>291</v>
      </c>
    </row>
    <row r="55" customFormat="false" ht="49.95" hidden="false" customHeight="false" outlineLevel="0" collapsed="false">
      <c r="A55" s="8" t="s">
        <v>326</v>
      </c>
      <c r="B55" s="9" t="s">
        <v>23</v>
      </c>
      <c r="C55" s="10" t="s">
        <v>7</v>
      </c>
      <c r="D55" s="10" t="s">
        <v>327</v>
      </c>
      <c r="E55" s="10" t="s">
        <v>328</v>
      </c>
      <c r="F55" s="10" t="s">
        <v>329</v>
      </c>
      <c r="G55" s="10" t="s">
        <v>330</v>
      </c>
      <c r="H55" s="10" t="s">
        <v>331</v>
      </c>
      <c r="I55" s="9" t="s">
        <v>70</v>
      </c>
      <c r="J55" s="11" t="n">
        <v>46294</v>
      </c>
      <c r="K55" s="10" t="s">
        <v>332</v>
      </c>
      <c r="L55" s="10" t="s">
        <v>72</v>
      </c>
      <c r="M55" s="10" t="s">
        <v>290</v>
      </c>
      <c r="N55" s="9" t="s">
        <v>291</v>
      </c>
    </row>
    <row r="56" customFormat="false" ht="30.55" hidden="false" customHeight="false" outlineLevel="0" collapsed="false">
      <c r="A56" s="8" t="s">
        <v>333</v>
      </c>
      <c r="B56" s="9" t="s">
        <v>52</v>
      </c>
      <c r="C56" s="10" t="s">
        <v>5</v>
      </c>
      <c r="D56" s="10" t="s">
        <v>334</v>
      </c>
      <c r="E56" s="10" t="s">
        <v>335</v>
      </c>
      <c r="F56" s="10" t="s">
        <v>336</v>
      </c>
      <c r="G56" s="10" t="s">
        <v>337</v>
      </c>
      <c r="H56" s="10" t="s">
        <v>338</v>
      </c>
      <c r="I56" s="9" t="s">
        <v>70</v>
      </c>
      <c r="J56" s="11" t="n">
        <v>46294</v>
      </c>
      <c r="K56" s="10" t="s">
        <v>339</v>
      </c>
      <c r="L56" s="10" t="s">
        <v>72</v>
      </c>
      <c r="M56" s="10" t="s">
        <v>340</v>
      </c>
      <c r="N56" s="9" t="s">
        <v>291</v>
      </c>
    </row>
    <row r="57" customFormat="false" ht="40.25" hidden="false" customHeight="false" outlineLevel="0" collapsed="false">
      <c r="A57" s="8" t="s">
        <v>341</v>
      </c>
      <c r="B57" s="9" t="s">
        <v>52</v>
      </c>
      <c r="C57" s="10" t="s">
        <v>7</v>
      </c>
      <c r="D57" s="10" t="s">
        <v>342</v>
      </c>
      <c r="E57" s="10" t="s">
        <v>343</v>
      </c>
      <c r="F57" s="10" t="s">
        <v>344</v>
      </c>
      <c r="G57" s="10" t="s">
        <v>345</v>
      </c>
      <c r="H57" s="10" t="s">
        <v>346</v>
      </c>
      <c r="I57" s="9" t="s">
        <v>70</v>
      </c>
      <c r="J57" s="11" t="n">
        <v>46294</v>
      </c>
      <c r="K57" s="10" t="s">
        <v>71</v>
      </c>
      <c r="L57" s="10" t="s">
        <v>72</v>
      </c>
      <c r="M57" s="10" t="s">
        <v>312</v>
      </c>
      <c r="N57" s="9" t="s">
        <v>291</v>
      </c>
    </row>
    <row r="58" customFormat="false" ht="30.55" hidden="false" customHeight="false" outlineLevel="0" collapsed="false">
      <c r="A58" s="8" t="s">
        <v>347</v>
      </c>
      <c r="B58" s="9" t="s">
        <v>88</v>
      </c>
      <c r="C58" s="10" t="s">
        <v>5</v>
      </c>
      <c r="D58" s="10" t="s">
        <v>348</v>
      </c>
      <c r="E58" s="10" t="s">
        <v>349</v>
      </c>
      <c r="F58" s="10" t="s">
        <v>350</v>
      </c>
      <c r="G58" s="10" t="s">
        <v>351</v>
      </c>
      <c r="H58" s="10" t="s">
        <v>28</v>
      </c>
      <c r="I58" s="9" t="s">
        <v>29</v>
      </c>
      <c r="J58" s="11"/>
      <c r="K58" s="10" t="s">
        <v>93</v>
      </c>
      <c r="L58" s="10" t="s">
        <v>72</v>
      </c>
      <c r="M58" s="10" t="s">
        <v>352</v>
      </c>
      <c r="N58" s="9" t="s">
        <v>291</v>
      </c>
    </row>
    <row r="59" customFormat="false" ht="20.85" hidden="false" customHeight="false" outlineLevel="0" collapsed="false">
      <c r="A59" s="8" t="s">
        <v>353</v>
      </c>
      <c r="B59" s="9" t="s">
        <v>23</v>
      </c>
      <c r="C59" s="10" t="s">
        <v>6</v>
      </c>
      <c r="D59" s="10" t="s">
        <v>354</v>
      </c>
      <c r="E59" s="10" t="s">
        <v>286</v>
      </c>
      <c r="F59" s="10" t="s">
        <v>355</v>
      </c>
      <c r="G59" s="10" t="s">
        <v>356</v>
      </c>
      <c r="H59" s="10" t="s">
        <v>28</v>
      </c>
      <c r="I59" s="9" t="s">
        <v>29</v>
      </c>
      <c r="J59" s="11"/>
      <c r="K59" s="10" t="s">
        <v>357</v>
      </c>
      <c r="L59" s="10" t="s">
        <v>31</v>
      </c>
      <c r="M59" s="10" t="s">
        <v>358</v>
      </c>
      <c r="N59" s="9" t="s">
        <v>291</v>
      </c>
    </row>
    <row r="60" customFormat="false" ht="20.85" hidden="false" customHeight="false" outlineLevel="0" collapsed="false">
      <c r="A60" s="8" t="s">
        <v>359</v>
      </c>
      <c r="B60" s="9" t="s">
        <v>52</v>
      </c>
      <c r="C60" s="10" t="s">
        <v>7</v>
      </c>
      <c r="D60" s="10" t="s">
        <v>360</v>
      </c>
      <c r="E60" s="10" t="s">
        <v>361</v>
      </c>
      <c r="F60" s="10" t="s">
        <v>362</v>
      </c>
      <c r="G60" s="10" t="s">
        <v>363</v>
      </c>
      <c r="H60" s="10" t="s">
        <v>28</v>
      </c>
      <c r="I60" s="9" t="s">
        <v>29</v>
      </c>
      <c r="J60" s="11"/>
      <c r="K60" s="10" t="s">
        <v>357</v>
      </c>
      <c r="L60" s="10" t="s">
        <v>31</v>
      </c>
      <c r="M60" s="10" t="s">
        <v>222</v>
      </c>
      <c r="N60" s="9" t="s">
        <v>291</v>
      </c>
    </row>
    <row r="61" customFormat="false" ht="20.85" hidden="false" customHeight="false" outlineLevel="0" collapsed="false">
      <c r="A61" s="8" t="s">
        <v>364</v>
      </c>
      <c r="B61" s="9" t="s">
        <v>23</v>
      </c>
      <c r="C61" s="10" t="s">
        <v>6</v>
      </c>
      <c r="D61" s="10" t="s">
        <v>365</v>
      </c>
      <c r="E61" s="10" t="s">
        <v>366</v>
      </c>
      <c r="F61" s="10" t="s">
        <v>367</v>
      </c>
      <c r="G61" s="10" t="s">
        <v>368</v>
      </c>
      <c r="H61" s="10" t="s">
        <v>28</v>
      </c>
      <c r="I61" s="9" t="s">
        <v>29</v>
      </c>
      <c r="J61" s="11"/>
      <c r="K61" s="10" t="s">
        <v>369</v>
      </c>
      <c r="L61" s="10" t="s">
        <v>31</v>
      </c>
      <c r="M61" s="10" t="s">
        <v>370</v>
      </c>
      <c r="N61" s="9" t="s">
        <v>371</v>
      </c>
    </row>
    <row r="62" customFormat="false" ht="20.85" hidden="false" customHeight="false" outlineLevel="0" collapsed="false">
      <c r="A62" s="8" t="s">
        <v>372</v>
      </c>
      <c r="B62" s="9" t="s">
        <v>52</v>
      </c>
      <c r="C62" s="10" t="s">
        <v>6</v>
      </c>
      <c r="D62" s="10" t="s">
        <v>373</v>
      </c>
      <c r="E62" s="10" t="s">
        <v>374</v>
      </c>
      <c r="F62" s="10" t="s">
        <v>375</v>
      </c>
      <c r="G62" s="10" t="s">
        <v>376</v>
      </c>
      <c r="H62" s="10" t="s">
        <v>28</v>
      </c>
      <c r="I62" s="9" t="s">
        <v>29</v>
      </c>
      <c r="J62" s="11"/>
      <c r="K62" s="10" t="s">
        <v>369</v>
      </c>
      <c r="L62" s="10" t="s">
        <v>31</v>
      </c>
      <c r="M62" s="10" t="s">
        <v>377</v>
      </c>
      <c r="N62" s="9" t="s">
        <v>371</v>
      </c>
    </row>
    <row r="63" customFormat="false" ht="20.85" hidden="false" customHeight="false" outlineLevel="0" collapsed="false">
      <c r="A63" s="8" t="s">
        <v>378</v>
      </c>
      <c r="B63" s="9" t="s">
        <v>52</v>
      </c>
      <c r="C63" s="10" t="s">
        <v>7</v>
      </c>
      <c r="D63" s="10" t="s">
        <v>379</v>
      </c>
      <c r="E63" s="10" t="s">
        <v>380</v>
      </c>
      <c r="F63" s="10" t="s">
        <v>305</v>
      </c>
      <c r="G63" s="10" t="s">
        <v>381</v>
      </c>
      <c r="H63" s="10" t="s">
        <v>28</v>
      </c>
      <c r="I63" s="9" t="s">
        <v>29</v>
      </c>
      <c r="J63" s="11"/>
      <c r="K63" s="10" t="s">
        <v>369</v>
      </c>
      <c r="L63" s="10" t="s">
        <v>31</v>
      </c>
      <c r="M63" s="10" t="s">
        <v>382</v>
      </c>
      <c r="N63" s="9" t="s">
        <v>371</v>
      </c>
    </row>
    <row r="64" customFormat="false" ht="20.85" hidden="false" customHeight="false" outlineLevel="0" collapsed="false">
      <c r="A64" s="8" t="s">
        <v>383</v>
      </c>
      <c r="B64" s="9" t="s">
        <v>52</v>
      </c>
      <c r="C64" s="10" t="s">
        <v>5</v>
      </c>
      <c r="D64" s="10" t="s">
        <v>384</v>
      </c>
      <c r="E64" s="10" t="s">
        <v>380</v>
      </c>
      <c r="F64" s="10" t="s">
        <v>385</v>
      </c>
      <c r="G64" s="10" t="s">
        <v>386</v>
      </c>
      <c r="H64" s="10" t="s">
        <v>28</v>
      </c>
      <c r="I64" s="9" t="s">
        <v>29</v>
      </c>
      <c r="J64" s="11"/>
      <c r="K64" s="10" t="s">
        <v>369</v>
      </c>
      <c r="L64" s="10" t="s">
        <v>31</v>
      </c>
      <c r="M64" s="10" t="s">
        <v>387</v>
      </c>
      <c r="N64" s="9" t="s">
        <v>371</v>
      </c>
    </row>
    <row r="65" customFormat="false" ht="20.85" hidden="false" customHeight="false" outlineLevel="0" collapsed="false">
      <c r="A65" s="8" t="s">
        <v>388</v>
      </c>
      <c r="B65" s="9" t="s">
        <v>52</v>
      </c>
      <c r="C65" s="10" t="s">
        <v>5</v>
      </c>
      <c r="D65" s="10" t="s">
        <v>389</v>
      </c>
      <c r="E65" s="10" t="s">
        <v>390</v>
      </c>
      <c r="F65" s="10" t="s">
        <v>391</v>
      </c>
      <c r="G65" s="10" t="s">
        <v>392</v>
      </c>
      <c r="H65" s="10" t="s">
        <v>393</v>
      </c>
      <c r="I65" s="9" t="s">
        <v>70</v>
      </c>
      <c r="J65" s="11" t="n">
        <v>46294</v>
      </c>
      <c r="K65" s="10" t="s">
        <v>71</v>
      </c>
      <c r="L65" s="10" t="s">
        <v>72</v>
      </c>
      <c r="M65" s="10" t="s">
        <v>370</v>
      </c>
      <c r="N65" s="9" t="s">
        <v>371</v>
      </c>
    </row>
    <row r="66" customFormat="false" ht="20.85" hidden="false" customHeight="false" outlineLevel="0" collapsed="false">
      <c r="A66" s="8" t="s">
        <v>394</v>
      </c>
      <c r="B66" s="9" t="s">
        <v>52</v>
      </c>
      <c r="C66" s="10" t="s">
        <v>5</v>
      </c>
      <c r="D66" s="10" t="s">
        <v>395</v>
      </c>
      <c r="E66" s="10" t="s">
        <v>396</v>
      </c>
      <c r="F66" s="10" t="s">
        <v>397</v>
      </c>
      <c r="G66" s="10" t="s">
        <v>398</v>
      </c>
      <c r="H66" s="10" t="s">
        <v>399</v>
      </c>
      <c r="I66" s="9" t="s">
        <v>70</v>
      </c>
      <c r="J66" s="11" t="n">
        <v>46294</v>
      </c>
      <c r="K66" s="10" t="s">
        <v>71</v>
      </c>
      <c r="L66" s="10" t="s">
        <v>72</v>
      </c>
      <c r="M66" s="10" t="s">
        <v>400</v>
      </c>
      <c r="N66" s="9" t="s">
        <v>371</v>
      </c>
    </row>
    <row r="67" customFormat="false" ht="20.85" hidden="false" customHeight="false" outlineLevel="0" collapsed="false">
      <c r="A67" s="8" t="s">
        <v>401</v>
      </c>
      <c r="B67" s="9" t="s">
        <v>52</v>
      </c>
      <c r="C67" s="10" t="s">
        <v>7</v>
      </c>
      <c r="D67" s="10" t="s">
        <v>402</v>
      </c>
      <c r="E67" s="10" t="s">
        <v>403</v>
      </c>
      <c r="F67" s="10" t="s">
        <v>404</v>
      </c>
      <c r="G67" s="10" t="s">
        <v>405</v>
      </c>
      <c r="H67" s="10" t="s">
        <v>406</v>
      </c>
      <c r="I67" s="9" t="s">
        <v>70</v>
      </c>
      <c r="J67" s="11" t="n">
        <v>46294</v>
      </c>
      <c r="K67" s="10" t="s">
        <v>71</v>
      </c>
      <c r="L67" s="10" t="s">
        <v>72</v>
      </c>
      <c r="M67" s="10" t="s">
        <v>382</v>
      </c>
      <c r="N67" s="9" t="s">
        <v>371</v>
      </c>
    </row>
    <row r="68" customFormat="false" ht="20.85" hidden="false" customHeight="false" outlineLevel="0" collapsed="false">
      <c r="A68" s="8" t="s">
        <v>407</v>
      </c>
      <c r="B68" s="9" t="s">
        <v>52</v>
      </c>
      <c r="C68" s="10" t="s">
        <v>5</v>
      </c>
      <c r="D68" s="10" t="s">
        <v>408</v>
      </c>
      <c r="E68" s="10" t="s">
        <v>409</v>
      </c>
      <c r="F68" s="10" t="s">
        <v>410</v>
      </c>
      <c r="G68" s="10" t="s">
        <v>411</v>
      </c>
      <c r="H68" s="10" t="s">
        <v>412</v>
      </c>
      <c r="I68" s="9" t="s">
        <v>70</v>
      </c>
      <c r="J68" s="11" t="n">
        <v>46294</v>
      </c>
      <c r="K68" s="10" t="s">
        <v>71</v>
      </c>
      <c r="L68" s="10" t="s">
        <v>72</v>
      </c>
      <c r="M68" s="10" t="s">
        <v>413</v>
      </c>
      <c r="N68" s="9" t="s">
        <v>371</v>
      </c>
    </row>
    <row r="69" customFormat="false" ht="20.85" hidden="false" customHeight="false" outlineLevel="0" collapsed="false">
      <c r="A69" s="8" t="s">
        <v>414</v>
      </c>
      <c r="B69" s="9" t="s">
        <v>52</v>
      </c>
      <c r="C69" s="10" t="s">
        <v>7</v>
      </c>
      <c r="D69" s="10" t="s">
        <v>415</v>
      </c>
      <c r="E69" s="10" t="s">
        <v>374</v>
      </c>
      <c r="F69" s="10" t="s">
        <v>416</v>
      </c>
      <c r="G69" s="10" t="s">
        <v>417</v>
      </c>
      <c r="H69" s="10" t="s">
        <v>28</v>
      </c>
      <c r="I69" s="9" t="s">
        <v>29</v>
      </c>
      <c r="J69" s="11"/>
      <c r="K69" s="10" t="s">
        <v>418</v>
      </c>
      <c r="L69" s="10" t="s">
        <v>31</v>
      </c>
      <c r="M69" s="10" t="s">
        <v>377</v>
      </c>
      <c r="N69" s="9" t="s">
        <v>371</v>
      </c>
    </row>
    <row r="70" customFormat="false" ht="20.85" hidden="false" customHeight="false" outlineLevel="0" collapsed="false">
      <c r="A70" s="8" t="s">
        <v>419</v>
      </c>
      <c r="B70" s="9" t="s">
        <v>23</v>
      </c>
      <c r="C70" s="10" t="s">
        <v>7</v>
      </c>
      <c r="D70" s="10" t="s">
        <v>420</v>
      </c>
      <c r="E70" s="10" t="s">
        <v>421</v>
      </c>
      <c r="F70" s="10" t="s">
        <v>422</v>
      </c>
      <c r="G70" s="10" t="s">
        <v>423</v>
      </c>
      <c r="H70" s="10" t="s">
        <v>28</v>
      </c>
      <c r="I70" s="9" t="s">
        <v>29</v>
      </c>
      <c r="J70" s="11"/>
      <c r="K70" s="10" t="s">
        <v>369</v>
      </c>
      <c r="L70" s="10" t="s">
        <v>31</v>
      </c>
      <c r="M70" s="10" t="s">
        <v>424</v>
      </c>
      <c r="N70" s="9" t="s">
        <v>371</v>
      </c>
    </row>
    <row r="71" customFormat="false" ht="20.85" hidden="false" customHeight="false" outlineLevel="0" collapsed="false">
      <c r="A71" s="8" t="s">
        <v>425</v>
      </c>
      <c r="B71" s="9" t="s">
        <v>52</v>
      </c>
      <c r="C71" s="10" t="s">
        <v>6</v>
      </c>
      <c r="D71" s="10" t="s">
        <v>426</v>
      </c>
      <c r="E71" s="10" t="s">
        <v>427</v>
      </c>
      <c r="F71" s="10" t="s">
        <v>428</v>
      </c>
      <c r="G71" s="10" t="s">
        <v>429</v>
      </c>
      <c r="H71" s="10" t="s">
        <v>28</v>
      </c>
      <c r="I71" s="9" t="s">
        <v>29</v>
      </c>
      <c r="J71" s="11"/>
      <c r="K71" s="10" t="s">
        <v>369</v>
      </c>
      <c r="L71" s="10" t="s">
        <v>31</v>
      </c>
      <c r="M71" s="10" t="s">
        <v>430</v>
      </c>
      <c r="N71" s="9" t="s">
        <v>371</v>
      </c>
    </row>
    <row r="72" customFormat="false" ht="20.85" hidden="false" customHeight="false" outlineLevel="0" collapsed="false">
      <c r="A72" s="8" t="s">
        <v>431</v>
      </c>
      <c r="B72" s="9" t="s">
        <v>23</v>
      </c>
      <c r="C72" s="10" t="s">
        <v>7</v>
      </c>
      <c r="D72" s="10" t="s">
        <v>432</v>
      </c>
      <c r="E72" s="10" t="s">
        <v>433</v>
      </c>
      <c r="F72" s="10" t="s">
        <v>434</v>
      </c>
      <c r="G72" s="10" t="s">
        <v>435</v>
      </c>
      <c r="H72" s="10" t="s">
        <v>436</v>
      </c>
      <c r="I72" s="9" t="s">
        <v>70</v>
      </c>
      <c r="J72" s="11" t="n">
        <v>46294</v>
      </c>
      <c r="K72" s="10" t="s">
        <v>71</v>
      </c>
      <c r="L72" s="10" t="s">
        <v>72</v>
      </c>
      <c r="M72" s="10" t="s">
        <v>424</v>
      </c>
      <c r="N72" s="9" t="s">
        <v>371</v>
      </c>
    </row>
    <row r="73" customFormat="false" ht="20.85" hidden="false" customHeight="false" outlineLevel="0" collapsed="false">
      <c r="A73" s="8" t="s">
        <v>437</v>
      </c>
      <c r="B73" s="9" t="s">
        <v>23</v>
      </c>
      <c r="C73" s="10" t="s">
        <v>6</v>
      </c>
      <c r="D73" s="10" t="s">
        <v>438</v>
      </c>
      <c r="E73" s="10" t="s">
        <v>433</v>
      </c>
      <c r="F73" s="10" t="s">
        <v>439</v>
      </c>
      <c r="G73" s="10" t="s">
        <v>440</v>
      </c>
      <c r="H73" s="10" t="s">
        <v>441</v>
      </c>
      <c r="I73" s="9" t="s">
        <v>70</v>
      </c>
      <c r="J73" s="11" t="n">
        <v>46294</v>
      </c>
      <c r="K73" s="10" t="s">
        <v>71</v>
      </c>
      <c r="L73" s="10" t="s">
        <v>72</v>
      </c>
      <c r="M73" s="10" t="s">
        <v>442</v>
      </c>
      <c r="N73" s="9" t="s">
        <v>371</v>
      </c>
    </row>
    <row r="74" customFormat="false" ht="30.55" hidden="false" customHeight="false" outlineLevel="0" collapsed="false">
      <c r="A74" s="8" t="s">
        <v>443</v>
      </c>
      <c r="B74" s="9" t="s">
        <v>52</v>
      </c>
      <c r="C74" s="10" t="s">
        <v>6</v>
      </c>
      <c r="D74" s="10" t="s">
        <v>444</v>
      </c>
      <c r="E74" s="10" t="s">
        <v>445</v>
      </c>
      <c r="F74" s="10" t="s">
        <v>446</v>
      </c>
      <c r="G74" s="10" t="s">
        <v>447</v>
      </c>
      <c r="H74" s="10" t="s">
        <v>448</v>
      </c>
      <c r="I74" s="9" t="s">
        <v>70</v>
      </c>
      <c r="J74" s="11" t="n">
        <v>46294</v>
      </c>
      <c r="K74" s="10" t="s">
        <v>71</v>
      </c>
      <c r="L74" s="10" t="s">
        <v>72</v>
      </c>
      <c r="M74" s="10" t="s">
        <v>449</v>
      </c>
      <c r="N74" s="9" t="s">
        <v>371</v>
      </c>
    </row>
    <row r="75" customFormat="false" ht="20.85" hidden="false" customHeight="false" outlineLevel="0" collapsed="false">
      <c r="A75" s="8" t="s">
        <v>450</v>
      </c>
      <c r="B75" s="9" t="s">
        <v>88</v>
      </c>
      <c r="C75" s="10" t="s">
        <v>7</v>
      </c>
      <c r="D75" s="10" t="s">
        <v>451</v>
      </c>
      <c r="E75" s="10" t="s">
        <v>452</v>
      </c>
      <c r="F75" s="10" t="s">
        <v>453</v>
      </c>
      <c r="G75" s="10" t="s">
        <v>454</v>
      </c>
      <c r="H75" s="10" t="s">
        <v>28</v>
      </c>
      <c r="I75" s="9" t="s">
        <v>29</v>
      </c>
      <c r="J75" s="11"/>
      <c r="K75" s="10" t="s">
        <v>93</v>
      </c>
      <c r="L75" s="10" t="s">
        <v>72</v>
      </c>
      <c r="M75" s="10" t="s">
        <v>455</v>
      </c>
      <c r="N75" s="9" t="s">
        <v>371</v>
      </c>
    </row>
    <row r="76" customFormat="false" ht="20.85" hidden="false" customHeight="false" outlineLevel="0" collapsed="false">
      <c r="A76" s="8" t="s">
        <v>456</v>
      </c>
      <c r="B76" s="9" t="s">
        <v>52</v>
      </c>
      <c r="C76" s="10" t="s">
        <v>5</v>
      </c>
      <c r="D76" s="10" t="s">
        <v>457</v>
      </c>
      <c r="E76" s="10" t="s">
        <v>458</v>
      </c>
      <c r="F76" s="10" t="s">
        <v>459</v>
      </c>
      <c r="G76" s="10" t="s">
        <v>460</v>
      </c>
      <c r="H76" s="10" t="s">
        <v>28</v>
      </c>
      <c r="I76" s="9" t="s">
        <v>29</v>
      </c>
      <c r="J76" s="11"/>
      <c r="K76" s="10" t="s">
        <v>461</v>
      </c>
      <c r="L76" s="10" t="s">
        <v>31</v>
      </c>
      <c r="M76" s="10" t="s">
        <v>462</v>
      </c>
      <c r="N76" s="9" t="s">
        <v>463</v>
      </c>
    </row>
    <row r="77" customFormat="false" ht="20.85" hidden="false" customHeight="false" outlineLevel="0" collapsed="false">
      <c r="A77" s="8" t="s">
        <v>464</v>
      </c>
      <c r="B77" s="9" t="s">
        <v>52</v>
      </c>
      <c r="C77" s="10" t="s">
        <v>7</v>
      </c>
      <c r="D77" s="10" t="s">
        <v>465</v>
      </c>
      <c r="E77" s="10" t="s">
        <v>466</v>
      </c>
      <c r="F77" s="10" t="s">
        <v>467</v>
      </c>
      <c r="G77" s="10" t="s">
        <v>468</v>
      </c>
      <c r="H77" s="10" t="s">
        <v>28</v>
      </c>
      <c r="I77" s="9" t="s">
        <v>29</v>
      </c>
      <c r="J77" s="11"/>
      <c r="K77" s="10" t="s">
        <v>461</v>
      </c>
      <c r="L77" s="10" t="s">
        <v>31</v>
      </c>
      <c r="M77" s="10" t="s">
        <v>469</v>
      </c>
      <c r="N77" s="9" t="s">
        <v>463</v>
      </c>
    </row>
    <row r="78" customFormat="false" ht="30.55" hidden="false" customHeight="false" outlineLevel="0" collapsed="false">
      <c r="A78" s="8" t="s">
        <v>470</v>
      </c>
      <c r="B78" s="9" t="s">
        <v>52</v>
      </c>
      <c r="C78" s="10" t="s">
        <v>5</v>
      </c>
      <c r="D78" s="10" t="s">
        <v>471</v>
      </c>
      <c r="E78" s="10" t="s">
        <v>472</v>
      </c>
      <c r="F78" s="10" t="s">
        <v>473</v>
      </c>
      <c r="G78" s="10" t="s">
        <v>474</v>
      </c>
      <c r="H78" s="10" t="s">
        <v>475</v>
      </c>
      <c r="I78" s="9" t="s">
        <v>70</v>
      </c>
      <c r="J78" s="11" t="n">
        <v>46294</v>
      </c>
      <c r="K78" s="10" t="s">
        <v>71</v>
      </c>
      <c r="L78" s="10" t="s">
        <v>72</v>
      </c>
      <c r="M78" s="10" t="s">
        <v>476</v>
      </c>
      <c r="N78" s="9" t="s">
        <v>463</v>
      </c>
    </row>
    <row r="79" customFormat="false" ht="30.55" hidden="false" customHeight="false" outlineLevel="0" collapsed="false">
      <c r="A79" s="8" t="s">
        <v>477</v>
      </c>
      <c r="B79" s="9" t="s">
        <v>52</v>
      </c>
      <c r="C79" s="10" t="s">
        <v>7</v>
      </c>
      <c r="D79" s="10" t="s">
        <v>478</v>
      </c>
      <c r="E79" s="10" t="s">
        <v>479</v>
      </c>
      <c r="F79" s="10" t="s">
        <v>480</v>
      </c>
      <c r="G79" s="10" t="s">
        <v>481</v>
      </c>
      <c r="H79" s="10" t="s">
        <v>482</v>
      </c>
      <c r="I79" s="9" t="s">
        <v>70</v>
      </c>
      <c r="J79" s="11" t="n">
        <v>46294</v>
      </c>
      <c r="K79" s="10" t="s">
        <v>71</v>
      </c>
      <c r="L79" s="10" t="s">
        <v>72</v>
      </c>
      <c r="M79" s="10" t="s">
        <v>469</v>
      </c>
      <c r="N79" s="9" t="s">
        <v>463</v>
      </c>
    </row>
    <row r="80" customFormat="false" ht="20.85" hidden="false" customHeight="false" outlineLevel="0" collapsed="false">
      <c r="A80" s="8" t="s">
        <v>483</v>
      </c>
      <c r="B80" s="9" t="s">
        <v>52</v>
      </c>
      <c r="C80" s="10" t="s">
        <v>5</v>
      </c>
      <c r="D80" s="10" t="s">
        <v>484</v>
      </c>
      <c r="E80" s="10" t="s">
        <v>485</v>
      </c>
      <c r="F80" s="10" t="s">
        <v>486</v>
      </c>
      <c r="G80" s="10" t="s">
        <v>487</v>
      </c>
      <c r="H80" s="10" t="s">
        <v>488</v>
      </c>
      <c r="I80" s="9" t="s">
        <v>70</v>
      </c>
      <c r="J80" s="11" t="n">
        <v>46294</v>
      </c>
      <c r="K80" s="10" t="s">
        <v>71</v>
      </c>
      <c r="L80" s="10" t="s">
        <v>72</v>
      </c>
      <c r="M80" s="10" t="s">
        <v>489</v>
      </c>
      <c r="N80" s="9" t="s">
        <v>463</v>
      </c>
    </row>
    <row r="81" customFormat="false" ht="20.85" hidden="false" customHeight="false" outlineLevel="0" collapsed="false">
      <c r="A81" s="8" t="s">
        <v>490</v>
      </c>
      <c r="B81" s="9" t="s">
        <v>88</v>
      </c>
      <c r="C81" s="10" t="s">
        <v>5</v>
      </c>
      <c r="D81" s="10" t="s">
        <v>491</v>
      </c>
      <c r="E81" s="10" t="s">
        <v>492</v>
      </c>
      <c r="F81" s="10" t="s">
        <v>493</v>
      </c>
      <c r="G81" s="10" t="s">
        <v>494</v>
      </c>
      <c r="H81" s="10" t="s">
        <v>28</v>
      </c>
      <c r="I81" s="9" t="s">
        <v>29</v>
      </c>
      <c r="J81" s="11"/>
      <c r="K81" s="10" t="s">
        <v>93</v>
      </c>
      <c r="L81" s="10" t="s">
        <v>72</v>
      </c>
      <c r="M81" s="10" t="s">
        <v>462</v>
      </c>
      <c r="N81" s="9" t="s">
        <v>463</v>
      </c>
    </row>
    <row r="82" customFormat="false" ht="20.85" hidden="false" customHeight="false" outlineLevel="0" collapsed="false">
      <c r="A82" s="8" t="s">
        <v>495</v>
      </c>
      <c r="B82" s="9" t="s">
        <v>88</v>
      </c>
      <c r="C82" s="10" t="s">
        <v>7</v>
      </c>
      <c r="D82" s="10" t="s">
        <v>496</v>
      </c>
      <c r="E82" s="10" t="s">
        <v>497</v>
      </c>
      <c r="F82" s="10" t="s">
        <v>498</v>
      </c>
      <c r="G82" s="10" t="s">
        <v>499</v>
      </c>
      <c r="H82" s="10" t="s">
        <v>28</v>
      </c>
      <c r="I82" s="9" t="s">
        <v>29</v>
      </c>
      <c r="J82" s="11"/>
      <c r="K82" s="10" t="s">
        <v>93</v>
      </c>
      <c r="L82" s="10" t="s">
        <v>72</v>
      </c>
      <c r="M82" s="10" t="s">
        <v>469</v>
      </c>
      <c r="N82" s="9" t="s">
        <v>463</v>
      </c>
    </row>
    <row r="83" customFormat="false" ht="20.85" hidden="false" customHeight="false" outlineLevel="0" collapsed="false">
      <c r="A83" s="8" t="s">
        <v>500</v>
      </c>
      <c r="B83" s="9" t="s">
        <v>52</v>
      </c>
      <c r="C83" s="10" t="s">
        <v>7</v>
      </c>
      <c r="D83" s="10" t="s">
        <v>501</v>
      </c>
      <c r="E83" s="10" t="s">
        <v>502</v>
      </c>
      <c r="F83" s="10" t="s">
        <v>300</v>
      </c>
      <c r="G83" s="10" t="s">
        <v>503</v>
      </c>
      <c r="H83" s="10" t="s">
        <v>28</v>
      </c>
      <c r="I83" s="9" t="s">
        <v>29</v>
      </c>
      <c r="J83" s="11"/>
      <c r="K83" s="10" t="s">
        <v>504</v>
      </c>
      <c r="L83" s="10" t="s">
        <v>31</v>
      </c>
      <c r="M83" s="10" t="s">
        <v>505</v>
      </c>
      <c r="N83" s="9" t="s">
        <v>463</v>
      </c>
    </row>
    <row r="84" customFormat="false" ht="20.85" hidden="false" customHeight="false" outlineLevel="0" collapsed="false">
      <c r="A84" s="8" t="s">
        <v>506</v>
      </c>
      <c r="B84" s="9" t="s">
        <v>52</v>
      </c>
      <c r="C84" s="10" t="s">
        <v>5</v>
      </c>
      <c r="D84" s="10" t="s">
        <v>507</v>
      </c>
      <c r="E84" s="10" t="s">
        <v>508</v>
      </c>
      <c r="F84" s="10" t="s">
        <v>509</v>
      </c>
      <c r="G84" s="10" t="s">
        <v>510</v>
      </c>
      <c r="H84" s="10" t="s">
        <v>28</v>
      </c>
      <c r="I84" s="9" t="s">
        <v>29</v>
      </c>
      <c r="J84" s="11"/>
      <c r="K84" s="10" t="s">
        <v>461</v>
      </c>
      <c r="L84" s="10" t="s">
        <v>31</v>
      </c>
      <c r="M84" s="10" t="s">
        <v>511</v>
      </c>
      <c r="N84" s="9" t="s">
        <v>463</v>
      </c>
    </row>
    <row r="85" customFormat="false" ht="20.85" hidden="false" customHeight="false" outlineLevel="0" collapsed="false">
      <c r="A85" s="8" t="s">
        <v>512</v>
      </c>
      <c r="B85" s="9" t="s">
        <v>52</v>
      </c>
      <c r="C85" s="10" t="s">
        <v>7</v>
      </c>
      <c r="D85" s="10" t="s">
        <v>513</v>
      </c>
      <c r="E85" s="10" t="s">
        <v>514</v>
      </c>
      <c r="F85" s="10" t="s">
        <v>515</v>
      </c>
      <c r="G85" s="10" t="s">
        <v>516</v>
      </c>
      <c r="H85" s="10" t="s">
        <v>28</v>
      </c>
      <c r="I85" s="9" t="s">
        <v>29</v>
      </c>
      <c r="J85" s="11"/>
      <c r="K85" s="10" t="s">
        <v>461</v>
      </c>
      <c r="L85" s="10" t="s">
        <v>31</v>
      </c>
      <c r="M85" s="10" t="s">
        <v>517</v>
      </c>
      <c r="N85" s="9" t="s">
        <v>463</v>
      </c>
    </row>
    <row r="86" customFormat="false" ht="20.85" hidden="false" customHeight="false" outlineLevel="0" collapsed="false">
      <c r="A86" s="8" t="s">
        <v>518</v>
      </c>
      <c r="B86" s="9" t="s">
        <v>88</v>
      </c>
      <c r="C86" s="10" t="s">
        <v>6</v>
      </c>
      <c r="D86" s="10" t="s">
        <v>519</v>
      </c>
      <c r="E86" s="10" t="s">
        <v>520</v>
      </c>
      <c r="F86" s="10" t="s">
        <v>521</v>
      </c>
      <c r="G86" s="10" t="s">
        <v>522</v>
      </c>
      <c r="H86" s="10" t="s">
        <v>28</v>
      </c>
      <c r="I86" s="9" t="s">
        <v>29</v>
      </c>
      <c r="J86" s="11"/>
      <c r="K86" s="10" t="s">
        <v>461</v>
      </c>
      <c r="L86" s="10" t="s">
        <v>31</v>
      </c>
      <c r="M86" s="10" t="s">
        <v>523</v>
      </c>
      <c r="N86" s="9" t="s">
        <v>463</v>
      </c>
    </row>
    <row r="87" customFormat="false" ht="20.85" hidden="false" customHeight="false" outlineLevel="0" collapsed="false">
      <c r="A87" s="8" t="s">
        <v>524</v>
      </c>
      <c r="B87" s="9" t="s">
        <v>88</v>
      </c>
      <c r="C87" s="10" t="s">
        <v>5</v>
      </c>
      <c r="D87" s="10" t="s">
        <v>525</v>
      </c>
      <c r="E87" s="10" t="s">
        <v>526</v>
      </c>
      <c r="F87" s="10" t="s">
        <v>527</v>
      </c>
      <c r="G87" s="10" t="s">
        <v>528</v>
      </c>
      <c r="H87" s="10" t="s">
        <v>28</v>
      </c>
      <c r="I87" s="9" t="s">
        <v>29</v>
      </c>
      <c r="J87" s="11"/>
      <c r="K87" s="10" t="s">
        <v>461</v>
      </c>
      <c r="L87" s="10" t="s">
        <v>31</v>
      </c>
      <c r="M87" s="10" t="s">
        <v>523</v>
      </c>
      <c r="N87" s="9" t="s">
        <v>463</v>
      </c>
    </row>
    <row r="88" customFormat="false" ht="40.25" hidden="false" customHeight="false" outlineLevel="0" collapsed="false">
      <c r="A88" s="8" t="s">
        <v>529</v>
      </c>
      <c r="B88" s="9" t="s">
        <v>88</v>
      </c>
      <c r="C88" s="10" t="s">
        <v>6</v>
      </c>
      <c r="D88" s="10" t="s">
        <v>530</v>
      </c>
      <c r="E88" s="10" t="s">
        <v>531</v>
      </c>
      <c r="F88" s="10" t="s">
        <v>532</v>
      </c>
      <c r="G88" s="10" t="s">
        <v>533</v>
      </c>
      <c r="H88" s="10" t="s">
        <v>534</v>
      </c>
      <c r="I88" s="9" t="s">
        <v>70</v>
      </c>
      <c r="J88" s="11" t="n">
        <v>46294</v>
      </c>
      <c r="K88" s="10" t="s">
        <v>535</v>
      </c>
      <c r="L88" s="10" t="s">
        <v>72</v>
      </c>
      <c r="M88" s="10" t="s">
        <v>536</v>
      </c>
      <c r="N88" s="9" t="s">
        <v>463</v>
      </c>
    </row>
    <row r="89" customFormat="false" ht="20.85" hidden="false" customHeight="false" outlineLevel="0" collapsed="false">
      <c r="A89" s="8" t="s">
        <v>537</v>
      </c>
      <c r="B89" s="9" t="s">
        <v>88</v>
      </c>
      <c r="C89" s="10" t="s">
        <v>5</v>
      </c>
      <c r="D89" s="10" t="s">
        <v>538</v>
      </c>
      <c r="E89" s="10" t="s">
        <v>539</v>
      </c>
      <c r="F89" s="10" t="s">
        <v>540</v>
      </c>
      <c r="G89" s="10" t="s">
        <v>541</v>
      </c>
      <c r="H89" s="10" t="s">
        <v>28</v>
      </c>
      <c r="I89" s="9" t="s">
        <v>29</v>
      </c>
      <c r="J89" s="11"/>
      <c r="K89" s="10" t="s">
        <v>504</v>
      </c>
      <c r="L89" s="10" t="s">
        <v>31</v>
      </c>
      <c r="M89" s="10" t="s">
        <v>542</v>
      </c>
      <c r="N89" s="9" t="s">
        <v>463</v>
      </c>
    </row>
    <row r="90" customFormat="false" ht="20.85" hidden="false" customHeight="false" outlineLevel="0" collapsed="false">
      <c r="A90" s="8" t="s">
        <v>543</v>
      </c>
      <c r="B90" s="9" t="s">
        <v>88</v>
      </c>
      <c r="C90" s="10" t="s">
        <v>7</v>
      </c>
      <c r="D90" s="10" t="s">
        <v>544</v>
      </c>
      <c r="E90" s="10" t="s">
        <v>545</v>
      </c>
      <c r="F90" s="10" t="s">
        <v>546</v>
      </c>
      <c r="G90" s="10" t="s">
        <v>547</v>
      </c>
      <c r="H90" s="10" t="s">
        <v>28</v>
      </c>
      <c r="I90" s="9" t="s">
        <v>29</v>
      </c>
      <c r="J90" s="11"/>
      <c r="K90" s="10" t="s">
        <v>461</v>
      </c>
      <c r="L90" s="10" t="s">
        <v>31</v>
      </c>
      <c r="M90" s="10" t="s">
        <v>548</v>
      </c>
      <c r="N90" s="9" t="s">
        <v>463</v>
      </c>
    </row>
    <row r="91" customFormat="false" ht="20.85" hidden="false" customHeight="false" outlineLevel="0" collapsed="false">
      <c r="A91" s="8" t="s">
        <v>549</v>
      </c>
      <c r="B91" s="9" t="s">
        <v>88</v>
      </c>
      <c r="C91" s="10" t="s">
        <v>5</v>
      </c>
      <c r="D91" s="10" t="s">
        <v>550</v>
      </c>
      <c r="E91" s="10" t="s">
        <v>551</v>
      </c>
      <c r="F91" s="10" t="s">
        <v>552</v>
      </c>
      <c r="G91" s="10" t="s">
        <v>553</v>
      </c>
      <c r="H91" s="10" t="s">
        <v>28</v>
      </c>
      <c r="I91" s="9" t="s">
        <v>29</v>
      </c>
      <c r="J91" s="11"/>
      <c r="K91" s="10" t="s">
        <v>461</v>
      </c>
      <c r="L91" s="10" t="s">
        <v>31</v>
      </c>
      <c r="M91" s="10" t="s">
        <v>554</v>
      </c>
      <c r="N91" s="9" t="s">
        <v>463</v>
      </c>
    </row>
    <row r="92" customFormat="false" ht="20.85" hidden="false" customHeight="false" outlineLevel="0" collapsed="false">
      <c r="A92" s="8" t="s">
        <v>555</v>
      </c>
      <c r="B92" s="9" t="s">
        <v>88</v>
      </c>
      <c r="C92" s="10" t="s">
        <v>6</v>
      </c>
      <c r="D92" s="10" t="s">
        <v>556</v>
      </c>
      <c r="E92" s="10" t="s">
        <v>557</v>
      </c>
      <c r="F92" s="10" t="s">
        <v>558</v>
      </c>
      <c r="G92" s="10" t="s">
        <v>559</v>
      </c>
      <c r="H92" s="10" t="s">
        <v>28</v>
      </c>
      <c r="I92" s="9" t="s">
        <v>29</v>
      </c>
      <c r="J92" s="11"/>
      <c r="K92" s="10" t="s">
        <v>461</v>
      </c>
      <c r="L92" s="10" t="s">
        <v>31</v>
      </c>
      <c r="M92" s="10" t="s">
        <v>560</v>
      </c>
      <c r="N92" s="9" t="s">
        <v>463</v>
      </c>
    </row>
    <row r="93" customFormat="false" ht="20.85" hidden="false" customHeight="false" outlineLevel="0" collapsed="false">
      <c r="A93" s="8" t="s">
        <v>561</v>
      </c>
      <c r="B93" s="9" t="s">
        <v>88</v>
      </c>
      <c r="C93" s="10" t="s">
        <v>6</v>
      </c>
      <c r="D93" s="10" t="s">
        <v>562</v>
      </c>
      <c r="E93" s="10" t="s">
        <v>563</v>
      </c>
      <c r="F93" s="10" t="s">
        <v>564</v>
      </c>
      <c r="G93" s="10" t="s">
        <v>565</v>
      </c>
      <c r="H93" s="10" t="s">
        <v>28</v>
      </c>
      <c r="I93" s="9" t="s">
        <v>29</v>
      </c>
      <c r="J93" s="11"/>
      <c r="K93" s="10" t="s">
        <v>461</v>
      </c>
      <c r="L93" s="10" t="s">
        <v>31</v>
      </c>
      <c r="M93" s="10" t="s">
        <v>566</v>
      </c>
      <c r="N93" s="9" t="s">
        <v>463</v>
      </c>
    </row>
    <row r="94" customFormat="false" ht="20.85" hidden="false" customHeight="false" outlineLevel="0" collapsed="false">
      <c r="A94" s="8" t="s">
        <v>567</v>
      </c>
      <c r="B94" s="9" t="s">
        <v>23</v>
      </c>
      <c r="C94" s="10" t="s">
        <v>5</v>
      </c>
      <c r="D94" s="10" t="s">
        <v>568</v>
      </c>
      <c r="E94" s="10" t="s">
        <v>569</v>
      </c>
      <c r="F94" s="10" t="s">
        <v>570</v>
      </c>
      <c r="G94" s="10" t="s">
        <v>571</v>
      </c>
      <c r="H94" s="10" t="s">
        <v>572</v>
      </c>
      <c r="I94" s="9" t="s">
        <v>70</v>
      </c>
      <c r="J94" s="11" t="n">
        <v>46294</v>
      </c>
      <c r="K94" s="10" t="s">
        <v>71</v>
      </c>
      <c r="L94" s="10" t="s">
        <v>72</v>
      </c>
      <c r="M94" s="10" t="s">
        <v>573</v>
      </c>
      <c r="N94" s="9" t="s">
        <v>463</v>
      </c>
    </row>
    <row r="95" customFormat="false" ht="20.85" hidden="false" customHeight="false" outlineLevel="0" collapsed="false">
      <c r="A95" s="8" t="s">
        <v>574</v>
      </c>
      <c r="B95" s="9" t="s">
        <v>23</v>
      </c>
      <c r="C95" s="10" t="s">
        <v>6</v>
      </c>
      <c r="D95" s="10" t="s">
        <v>575</v>
      </c>
      <c r="E95" s="10" t="s">
        <v>576</v>
      </c>
      <c r="F95" s="10" t="s">
        <v>577</v>
      </c>
      <c r="G95" s="10" t="s">
        <v>578</v>
      </c>
      <c r="H95" s="10" t="s">
        <v>579</v>
      </c>
      <c r="I95" s="9" t="s">
        <v>70</v>
      </c>
      <c r="J95" s="11" t="n">
        <v>46294</v>
      </c>
      <c r="K95" s="10" t="s">
        <v>71</v>
      </c>
      <c r="L95" s="10" t="s">
        <v>72</v>
      </c>
      <c r="M95" s="10" t="s">
        <v>580</v>
      </c>
      <c r="N95" s="9" t="s">
        <v>463</v>
      </c>
    </row>
    <row r="96" customFormat="false" ht="40.25" hidden="false" customHeight="false" outlineLevel="0" collapsed="false">
      <c r="A96" s="8" t="s">
        <v>581</v>
      </c>
      <c r="B96" s="9" t="s">
        <v>88</v>
      </c>
      <c r="C96" s="10" t="s">
        <v>7</v>
      </c>
      <c r="D96" s="10" t="s">
        <v>582</v>
      </c>
      <c r="E96" s="10" t="s">
        <v>583</v>
      </c>
      <c r="F96" s="10" t="s">
        <v>532</v>
      </c>
      <c r="G96" s="10" t="s">
        <v>584</v>
      </c>
      <c r="H96" s="10" t="s">
        <v>585</v>
      </c>
      <c r="I96" s="9" t="s">
        <v>70</v>
      </c>
      <c r="J96" s="11" t="n">
        <v>46294</v>
      </c>
      <c r="K96" s="10" t="s">
        <v>586</v>
      </c>
      <c r="L96" s="10" t="s">
        <v>72</v>
      </c>
      <c r="M96" s="10" t="s">
        <v>489</v>
      </c>
      <c r="N96" s="9" t="s">
        <v>463</v>
      </c>
    </row>
    <row r="97" customFormat="false" ht="30.55" hidden="false" customHeight="false" outlineLevel="0" collapsed="false">
      <c r="A97" s="8" t="s">
        <v>587</v>
      </c>
      <c r="B97" s="9" t="s">
        <v>88</v>
      </c>
      <c r="C97" s="10" t="s">
        <v>6</v>
      </c>
      <c r="D97" s="10" t="s">
        <v>588</v>
      </c>
      <c r="E97" s="10" t="s">
        <v>589</v>
      </c>
      <c r="F97" s="10" t="s">
        <v>590</v>
      </c>
      <c r="G97" s="10" t="s">
        <v>591</v>
      </c>
      <c r="H97" s="10" t="s">
        <v>592</v>
      </c>
      <c r="I97" s="9" t="s">
        <v>70</v>
      </c>
      <c r="J97" s="11" t="n">
        <v>46294</v>
      </c>
      <c r="K97" s="10" t="s">
        <v>71</v>
      </c>
      <c r="L97" s="10" t="s">
        <v>72</v>
      </c>
      <c r="M97" s="10" t="s">
        <v>593</v>
      </c>
      <c r="N97" s="9" t="s">
        <v>463</v>
      </c>
    </row>
    <row r="98" customFormat="false" ht="20.85" hidden="false" customHeight="false" outlineLevel="0" collapsed="false">
      <c r="A98" s="8" t="s">
        <v>594</v>
      </c>
      <c r="B98" s="9" t="s">
        <v>88</v>
      </c>
      <c r="C98" s="10" t="s">
        <v>6</v>
      </c>
      <c r="D98" s="10" t="s">
        <v>595</v>
      </c>
      <c r="E98" s="10" t="s">
        <v>596</v>
      </c>
      <c r="F98" s="10" t="s">
        <v>597</v>
      </c>
      <c r="G98" s="10" t="s">
        <v>598</v>
      </c>
      <c r="H98" s="10" t="s">
        <v>599</v>
      </c>
      <c r="I98" s="9" t="s">
        <v>70</v>
      </c>
      <c r="J98" s="11" t="n">
        <v>46294</v>
      </c>
      <c r="K98" s="10" t="s">
        <v>71</v>
      </c>
      <c r="L98" s="10" t="s">
        <v>72</v>
      </c>
      <c r="M98" s="10" t="s">
        <v>593</v>
      </c>
      <c r="N98" s="9" t="s">
        <v>463</v>
      </c>
    </row>
    <row r="99" customFormat="false" ht="20.85" hidden="false" customHeight="false" outlineLevel="0" collapsed="false">
      <c r="A99" s="8" t="s">
        <v>600</v>
      </c>
      <c r="B99" s="9" t="s">
        <v>88</v>
      </c>
      <c r="C99" s="10" t="s">
        <v>5</v>
      </c>
      <c r="D99" s="10" t="s">
        <v>601</v>
      </c>
      <c r="E99" s="10" t="s">
        <v>602</v>
      </c>
      <c r="F99" s="10" t="s">
        <v>603</v>
      </c>
      <c r="G99" s="10" t="s">
        <v>604</v>
      </c>
      <c r="H99" s="10" t="s">
        <v>28</v>
      </c>
      <c r="I99" s="9" t="s">
        <v>29</v>
      </c>
      <c r="J99" s="11"/>
      <c r="K99" s="10" t="s">
        <v>93</v>
      </c>
      <c r="L99" s="10" t="s">
        <v>72</v>
      </c>
      <c r="M99" s="10" t="s">
        <v>573</v>
      </c>
      <c r="N99" s="9" t="s">
        <v>463</v>
      </c>
    </row>
    <row r="100" customFormat="false" ht="20.85" hidden="false" customHeight="false" outlineLevel="0" collapsed="false">
      <c r="A100" s="8" t="s">
        <v>605</v>
      </c>
      <c r="B100" s="9" t="s">
        <v>88</v>
      </c>
      <c r="C100" s="10" t="s">
        <v>7</v>
      </c>
      <c r="D100" s="10" t="s">
        <v>606</v>
      </c>
      <c r="E100" s="10" t="s">
        <v>607</v>
      </c>
      <c r="F100" s="10" t="s">
        <v>608</v>
      </c>
      <c r="G100" s="10" t="s">
        <v>609</v>
      </c>
      <c r="H100" s="10" t="s">
        <v>28</v>
      </c>
      <c r="I100" s="9" t="s">
        <v>29</v>
      </c>
      <c r="J100" s="11"/>
      <c r="K100" s="10" t="s">
        <v>93</v>
      </c>
      <c r="L100" s="10" t="s">
        <v>72</v>
      </c>
      <c r="M100" s="10" t="s">
        <v>593</v>
      </c>
      <c r="N100" s="9" t="s">
        <v>463</v>
      </c>
    </row>
    <row r="101" customFormat="false" ht="30.55" hidden="false" customHeight="false" outlineLevel="0" collapsed="false">
      <c r="A101" s="8" t="s">
        <v>610</v>
      </c>
      <c r="B101" s="9" t="s">
        <v>88</v>
      </c>
      <c r="C101" s="10" t="s">
        <v>5</v>
      </c>
      <c r="D101" s="10" t="s">
        <v>611</v>
      </c>
      <c r="E101" s="10" t="s">
        <v>612</v>
      </c>
      <c r="F101" s="10" t="s">
        <v>613</v>
      </c>
      <c r="G101" s="10" t="s">
        <v>614</v>
      </c>
      <c r="H101" s="10" t="s">
        <v>28</v>
      </c>
      <c r="I101" s="9" t="s">
        <v>29</v>
      </c>
      <c r="J101" s="11"/>
      <c r="K101" s="10" t="s">
        <v>93</v>
      </c>
      <c r="L101" s="10" t="s">
        <v>72</v>
      </c>
      <c r="M101" s="10" t="s">
        <v>593</v>
      </c>
      <c r="N101" s="9" t="s">
        <v>463</v>
      </c>
    </row>
    <row r="102" customFormat="false" ht="20.85" hidden="false" customHeight="false" outlineLevel="0" collapsed="false">
      <c r="A102" s="8" t="s">
        <v>615</v>
      </c>
      <c r="B102" s="9" t="s">
        <v>88</v>
      </c>
      <c r="C102" s="10" t="s">
        <v>6</v>
      </c>
      <c r="D102" s="10" t="s">
        <v>616</v>
      </c>
      <c r="E102" s="10" t="s">
        <v>617</v>
      </c>
      <c r="F102" s="10" t="s">
        <v>618</v>
      </c>
      <c r="G102" s="10" t="s">
        <v>619</v>
      </c>
      <c r="H102" s="10" t="s">
        <v>28</v>
      </c>
      <c r="I102" s="9" t="s">
        <v>29</v>
      </c>
      <c r="J102" s="11"/>
      <c r="K102" s="10" t="s">
        <v>504</v>
      </c>
      <c r="L102" s="10" t="s">
        <v>31</v>
      </c>
      <c r="M102" s="10" t="s">
        <v>620</v>
      </c>
      <c r="N102" s="9" t="s">
        <v>463</v>
      </c>
    </row>
    <row r="103" customFormat="false" ht="20.85" hidden="false" customHeight="false" outlineLevel="0" collapsed="false">
      <c r="A103" s="8" t="s">
        <v>621</v>
      </c>
      <c r="B103" s="9" t="s">
        <v>88</v>
      </c>
      <c r="C103" s="10" t="s">
        <v>5</v>
      </c>
      <c r="D103" s="10" t="s">
        <v>622</v>
      </c>
      <c r="E103" s="10" t="s">
        <v>623</v>
      </c>
      <c r="F103" s="10" t="s">
        <v>624</v>
      </c>
      <c r="G103" s="10" t="s">
        <v>625</v>
      </c>
      <c r="H103" s="10" t="s">
        <v>28</v>
      </c>
      <c r="I103" s="9" t="s">
        <v>29</v>
      </c>
      <c r="J103" s="11"/>
      <c r="K103" s="10" t="s">
        <v>504</v>
      </c>
      <c r="L103" s="10" t="s">
        <v>31</v>
      </c>
      <c r="M103" s="10" t="s">
        <v>626</v>
      </c>
      <c r="N103" s="9" t="s">
        <v>463</v>
      </c>
    </row>
    <row r="104" customFormat="false" ht="20.85" hidden="false" customHeight="false" outlineLevel="0" collapsed="false">
      <c r="A104" s="8" t="s">
        <v>627</v>
      </c>
      <c r="B104" s="9" t="s">
        <v>88</v>
      </c>
      <c r="C104" s="10" t="s">
        <v>6</v>
      </c>
      <c r="D104" s="10" t="s">
        <v>628</v>
      </c>
      <c r="E104" s="10" t="s">
        <v>629</v>
      </c>
      <c r="F104" s="10" t="s">
        <v>630</v>
      </c>
      <c r="G104" s="10" t="s">
        <v>631</v>
      </c>
      <c r="H104" s="10" t="s">
        <v>28</v>
      </c>
      <c r="I104" s="9" t="s">
        <v>29</v>
      </c>
      <c r="J104" s="11"/>
      <c r="K104" s="10" t="s">
        <v>504</v>
      </c>
      <c r="L104" s="10" t="s">
        <v>31</v>
      </c>
      <c r="M104" s="10" t="s">
        <v>632</v>
      </c>
      <c r="N104" s="9" t="s">
        <v>463</v>
      </c>
    </row>
    <row r="105" customFormat="false" ht="20.85" hidden="false" customHeight="false" outlineLevel="0" collapsed="false">
      <c r="A105" s="8" t="s">
        <v>633</v>
      </c>
      <c r="B105" s="9" t="s">
        <v>88</v>
      </c>
      <c r="C105" s="10" t="s">
        <v>6</v>
      </c>
      <c r="D105" s="10" t="s">
        <v>634</v>
      </c>
      <c r="E105" s="10" t="s">
        <v>635</v>
      </c>
      <c r="F105" s="10" t="s">
        <v>636</v>
      </c>
      <c r="G105" s="10" t="s">
        <v>637</v>
      </c>
      <c r="H105" s="10" t="s">
        <v>28</v>
      </c>
      <c r="I105" s="9" t="s">
        <v>29</v>
      </c>
      <c r="J105" s="11"/>
      <c r="K105" s="10" t="s">
        <v>504</v>
      </c>
      <c r="L105" s="10" t="s">
        <v>31</v>
      </c>
      <c r="M105" s="10" t="s">
        <v>638</v>
      </c>
      <c r="N105" s="9" t="s">
        <v>463</v>
      </c>
    </row>
    <row r="106" customFormat="false" ht="49.95" hidden="false" customHeight="false" outlineLevel="0" collapsed="false">
      <c r="A106" s="8" t="s">
        <v>639</v>
      </c>
      <c r="B106" s="9" t="s">
        <v>640</v>
      </c>
      <c r="C106" s="10" t="s">
        <v>6</v>
      </c>
      <c r="D106" s="10" t="s">
        <v>641</v>
      </c>
      <c r="E106" s="10" t="s">
        <v>642</v>
      </c>
      <c r="F106" s="10" t="s">
        <v>643</v>
      </c>
      <c r="G106" s="10" t="s">
        <v>644</v>
      </c>
      <c r="H106" s="10" t="s">
        <v>28</v>
      </c>
      <c r="I106" s="9" t="s">
        <v>29</v>
      </c>
      <c r="J106" s="11"/>
      <c r="K106" s="10" t="s">
        <v>93</v>
      </c>
      <c r="L106" s="10" t="s">
        <v>72</v>
      </c>
      <c r="M106" s="10" t="s">
        <v>645</v>
      </c>
      <c r="N106" s="9" t="s">
        <v>646</v>
      </c>
    </row>
    <row r="107" customFormat="false" ht="20.85" hidden="false" customHeight="false" outlineLevel="0" collapsed="false">
      <c r="A107" s="8" t="s">
        <v>647</v>
      </c>
      <c r="B107" s="9" t="s">
        <v>640</v>
      </c>
      <c r="C107" s="10" t="s">
        <v>6</v>
      </c>
      <c r="D107" s="10" t="s">
        <v>648</v>
      </c>
      <c r="E107" s="10" t="s">
        <v>642</v>
      </c>
      <c r="F107" s="10" t="s">
        <v>649</v>
      </c>
      <c r="G107" s="10" t="s">
        <v>650</v>
      </c>
      <c r="H107" s="10" t="s">
        <v>28</v>
      </c>
      <c r="I107" s="9" t="s">
        <v>29</v>
      </c>
      <c r="J107" s="11"/>
      <c r="K107" s="10" t="s">
        <v>93</v>
      </c>
      <c r="L107" s="10" t="s">
        <v>72</v>
      </c>
      <c r="M107" s="10" t="s">
        <v>651</v>
      </c>
      <c r="N107" s="9" t="s">
        <v>646</v>
      </c>
    </row>
    <row r="108" customFormat="false" ht="20.85" hidden="false" customHeight="false" outlineLevel="0" collapsed="false">
      <c r="A108" s="8" t="s">
        <v>652</v>
      </c>
      <c r="B108" s="9" t="s">
        <v>640</v>
      </c>
      <c r="C108" s="10" t="s">
        <v>5</v>
      </c>
      <c r="D108" s="10" t="s">
        <v>653</v>
      </c>
      <c r="E108" s="10" t="s">
        <v>654</v>
      </c>
      <c r="F108" s="10" t="s">
        <v>655</v>
      </c>
      <c r="G108" s="10" t="s">
        <v>656</v>
      </c>
      <c r="H108" s="10" t="s">
        <v>28</v>
      </c>
      <c r="I108" s="9" t="s">
        <v>29</v>
      </c>
      <c r="J108" s="11"/>
      <c r="K108" s="10" t="s">
        <v>657</v>
      </c>
      <c r="L108" s="10" t="s">
        <v>31</v>
      </c>
      <c r="M108" s="10" t="s">
        <v>658</v>
      </c>
      <c r="N108" s="9" t="s">
        <v>646</v>
      </c>
    </row>
  </sheetData>
  <autoFilter ref="A6:N108"/>
  <conditionalFormatting sqref="I7:I108">
    <cfRule type="cellIs" priority="2" operator="equal" aboveAverage="0" equalAverage="0" bottom="0" percent="0" rank="0" text="" dxfId="9">
      <formula>"SI"</formula>
    </cfRule>
    <cfRule type="cellIs" priority="3" operator="equal" aboveAverage="0" equalAverage="0" bottom="0" percent="0" rank="0" text="" dxfId="10">
      <formula>"NO"</formula>
    </cfRule>
    <cfRule type="cellIs" priority="4" operator="equal" aboveAverage="0" equalAverage="0" bottom="0" percent="0" rank="0" text="" dxfId="11">
      <formula>"PENDIENTE"</formula>
    </cfRule>
  </conditionalFormatting>
  <conditionalFormatting sqref="A7:A108">
    <cfRule type="expression" priority="5" aboveAverage="0" equalAverage="0" bottom="0" percent="0" rank="0" text="" dxfId="12">
      <formula>$I7="NO"</formula>
    </cfRule>
  </conditionalFormatting>
  <dataValidations count="3">
    <dataValidation allowBlank="false" errorStyle="stop" operator="between" showDropDown="false" showErrorMessage="false" showInputMessage="false" sqref="I7:I108" type="list">
      <formula1>"SI,NO,PENDIENTE"</formula1>
      <formula2>0</formula2>
    </dataValidation>
    <dataValidation allowBlank="false" errorStyle="stop" operator="between" showDropDown="false" showErrorMessage="false" showInputMessage="false" sqref="C7:C108" type="list">
      <formula1>"Nicolas Diaz,Jenifer Urbano,Juan Camilo Lopez"</formula1>
      <formula2>0</formula2>
    </dataValidation>
    <dataValidation allowBlank="false" errorStyle="stop" operator="between" showDropDown="false" showErrorMessage="false" showInputMessage="false" sqref="B7:B108" type="list">
      <formula1>"unitario,de integración,del sistema,de aceptación"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6" min="3" style="0" width="12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2" t="s">
        <v>659</v>
      </c>
    </row>
    <row r="2" customFormat="false" ht="15" hidden="false" customHeight="false" outlineLevel="0" collapsed="false">
      <c r="A2" s="3" t="s">
        <v>660</v>
      </c>
    </row>
    <row r="4" customFormat="false" ht="15" hidden="false" customHeight="false" outlineLevel="0" collapsed="false">
      <c r="A4" s="13" t="s">
        <v>661</v>
      </c>
    </row>
    <row r="5" customFormat="false" ht="23.85" hidden="false" customHeight="false" outlineLevel="0" collapsed="false">
      <c r="A5" s="7" t="s">
        <v>662</v>
      </c>
      <c r="B5" s="7" t="s">
        <v>663</v>
      </c>
      <c r="C5" s="7" t="s">
        <v>664</v>
      </c>
      <c r="D5" s="7" t="s">
        <v>665</v>
      </c>
      <c r="E5" s="7" t="s">
        <v>666</v>
      </c>
      <c r="F5" s="7" t="s">
        <v>667</v>
      </c>
      <c r="G5" s="7" t="s">
        <v>668</v>
      </c>
    </row>
    <row r="6" customFormat="false" ht="15" hidden="false" customHeight="false" outlineLevel="0" collapsed="false">
      <c r="A6" s="14" t="s">
        <v>669</v>
      </c>
      <c r="B6" s="15" t="n">
        <f aca="false">COUNTIFS('Plan de pruebas'!$A$7:$A$108,"QA-*")</f>
        <v>13</v>
      </c>
      <c r="C6" s="15" t="n">
        <f aca="false">D6+E6</f>
        <v>3</v>
      </c>
      <c r="D6" s="15" t="n">
        <f aca="false">COUNTIFS('Plan de pruebas'!$A$7:$A$108,"QA-*",'Plan de pruebas'!$I$7:$I$108,"SI")</f>
        <v>3</v>
      </c>
      <c r="E6" s="15" t="n">
        <f aca="false">COUNTIFS('Plan de pruebas'!$A$7:$A$108,"QA-*",'Plan de pruebas'!$I$7:$I$108,"NO")</f>
        <v>0</v>
      </c>
      <c r="F6" s="15" t="n">
        <f aca="false">COUNTIFS('Plan de pruebas'!$A$7:$A$108,"QA-*",'Plan de pruebas'!$I$7:$I$108,"PENDIENTE")</f>
        <v>10</v>
      </c>
      <c r="G6" s="16" t="n">
        <f aca="false">IF(C6=0,"-",D6/C6)</f>
        <v>1</v>
      </c>
    </row>
    <row r="7" customFormat="false" ht="15" hidden="false" customHeight="false" outlineLevel="0" collapsed="false">
      <c r="A7" s="14" t="s">
        <v>670</v>
      </c>
      <c r="B7" s="15" t="n">
        <f aca="false">COUNTIFS('Plan de pruebas'!$A$7:$A$108,"FN-*")</f>
        <v>12</v>
      </c>
      <c r="C7" s="15" t="n">
        <f aca="false">D7+E7</f>
        <v>4</v>
      </c>
      <c r="D7" s="15" t="n">
        <f aca="false">COUNTIFS('Plan de pruebas'!$A$7:$A$108,"FN-*",'Plan de pruebas'!$I$7:$I$108,"SI")</f>
        <v>3</v>
      </c>
      <c r="E7" s="15" t="n">
        <f aca="false">COUNTIFS('Plan de pruebas'!$A$7:$A$108,"FN-*",'Plan de pruebas'!$I$7:$I$108,"NO")</f>
        <v>1</v>
      </c>
      <c r="F7" s="15" t="n">
        <f aca="false">COUNTIFS('Plan de pruebas'!$A$7:$A$108,"FN-*",'Plan de pruebas'!$I$7:$I$108,"PENDIENTE")</f>
        <v>8</v>
      </c>
      <c r="G7" s="16" t="n">
        <f aca="false">IF(C7=0,"-",D7/C7)</f>
        <v>0.75</v>
      </c>
    </row>
    <row r="8" customFormat="false" ht="15" hidden="false" customHeight="false" outlineLevel="0" collapsed="false">
      <c r="A8" s="14" t="s">
        <v>671</v>
      </c>
      <c r="B8" s="15" t="n">
        <f aca="false">COUNTIFS('Plan de pruebas'!$A$7:$A$108,"MK-*")</f>
        <v>16</v>
      </c>
      <c r="C8" s="15" t="n">
        <f aca="false">D8+E8</f>
        <v>7</v>
      </c>
      <c r="D8" s="15" t="n">
        <f aca="false">COUNTIFS('Plan de pruebas'!$A$7:$A$108,"MK-*",'Plan de pruebas'!$I$7:$I$108,"SI")</f>
        <v>7</v>
      </c>
      <c r="E8" s="15" t="n">
        <f aca="false">COUNTIFS('Plan de pruebas'!$A$7:$A$108,"MK-*",'Plan de pruebas'!$I$7:$I$108,"NO")</f>
        <v>0</v>
      </c>
      <c r="F8" s="15" t="n">
        <f aca="false">COUNTIFS('Plan de pruebas'!$A$7:$A$108,"MK-*",'Plan de pruebas'!$I$7:$I$108,"PENDIENTE")</f>
        <v>9</v>
      </c>
      <c r="G8" s="16" t="n">
        <f aca="false">IF(C8=0,"-",D8/C8)</f>
        <v>1</v>
      </c>
    </row>
    <row r="9" customFormat="false" ht="15" hidden="false" customHeight="false" outlineLevel="0" collapsed="false">
      <c r="A9" s="14" t="s">
        <v>672</v>
      </c>
      <c r="B9" s="15" t="n">
        <f aca="false">COUNTIFS('Plan de pruebas'!$A$7:$A$108,"TX-*")</f>
        <v>13</v>
      </c>
      <c r="C9" s="15" t="n">
        <f aca="false">D9+E9</f>
        <v>5</v>
      </c>
      <c r="D9" s="15" t="n">
        <f aca="false">COUNTIFS('Plan de pruebas'!$A$7:$A$108,"TX-*",'Plan de pruebas'!$I$7:$I$108,"SI")</f>
        <v>5</v>
      </c>
      <c r="E9" s="15" t="n">
        <f aca="false">COUNTIFS('Plan de pruebas'!$A$7:$A$108,"TX-*",'Plan de pruebas'!$I$7:$I$108,"NO")</f>
        <v>0</v>
      </c>
      <c r="F9" s="15" t="n">
        <f aca="false">COUNTIFS('Plan de pruebas'!$A$7:$A$108,"TX-*",'Plan de pruebas'!$I$7:$I$108,"PENDIENTE")</f>
        <v>8</v>
      </c>
      <c r="G9" s="16" t="n">
        <f aca="false">IF(C9=0,"-",D9/C9)</f>
        <v>1</v>
      </c>
    </row>
    <row r="10" customFormat="false" ht="15" hidden="false" customHeight="false" outlineLevel="0" collapsed="false">
      <c r="A10" s="14" t="s">
        <v>673</v>
      </c>
      <c r="B10" s="15" t="n">
        <f aca="false">COUNTIFS('Plan de pruebas'!$A$7:$A$108,"CL-*")</f>
        <v>9</v>
      </c>
      <c r="C10" s="15" t="n">
        <f aca="false">D10+E10</f>
        <v>4</v>
      </c>
      <c r="D10" s="15" t="n">
        <f aca="false">COUNTIFS('Plan de pruebas'!$A$7:$A$108,"CL-*",'Plan de pruebas'!$I$7:$I$108,"SI")</f>
        <v>4</v>
      </c>
      <c r="E10" s="15" t="n">
        <f aca="false">COUNTIFS('Plan de pruebas'!$A$7:$A$108,"CL-*",'Plan de pruebas'!$I$7:$I$108,"NO")</f>
        <v>0</v>
      </c>
      <c r="F10" s="15" t="n">
        <f aca="false">COUNTIFS('Plan de pruebas'!$A$7:$A$108,"CL-*",'Plan de pruebas'!$I$7:$I$108,"PENDIENTE")</f>
        <v>5</v>
      </c>
      <c r="G10" s="16" t="n">
        <f aca="false">IF(C10=0,"-",D10/C10)</f>
        <v>1</v>
      </c>
    </row>
    <row r="11" customFormat="false" ht="15" hidden="false" customHeight="false" outlineLevel="0" collapsed="false">
      <c r="A11" s="14" t="s">
        <v>674</v>
      </c>
      <c r="B11" s="15" t="n">
        <f aca="false">COUNTIFS('Plan de pruebas'!$A$7:$A$108,"LG-*")</f>
        <v>6</v>
      </c>
      <c r="C11" s="15" t="n">
        <f aca="false">D11+E11</f>
        <v>3</v>
      </c>
      <c r="D11" s="15" t="n">
        <f aca="false">COUNTIFS('Plan de pruebas'!$A$7:$A$108,"LG-*",'Plan de pruebas'!$I$7:$I$108,"SI")</f>
        <v>3</v>
      </c>
      <c r="E11" s="15" t="n">
        <f aca="false">COUNTIFS('Plan de pruebas'!$A$7:$A$108,"LG-*",'Plan de pruebas'!$I$7:$I$108,"NO")</f>
        <v>0</v>
      </c>
      <c r="F11" s="15" t="n">
        <f aca="false">COUNTIFS('Plan de pruebas'!$A$7:$A$108,"LG-*",'Plan de pruebas'!$I$7:$I$108,"PENDIENTE")</f>
        <v>3</v>
      </c>
      <c r="G11" s="16" t="n">
        <f aca="false">IF(C11=0,"-",D11/C11)</f>
        <v>1</v>
      </c>
    </row>
    <row r="12" customFormat="false" ht="15" hidden="false" customHeight="false" outlineLevel="0" collapsed="false">
      <c r="A12" s="14" t="s">
        <v>675</v>
      </c>
      <c r="B12" s="15" t="n">
        <f aca="false">COUNTIFS('Plan de pruebas'!$A$7:$A$108,"AD-*")</f>
        <v>8</v>
      </c>
      <c r="C12" s="15" t="n">
        <f aca="false">D12+E12</f>
        <v>3</v>
      </c>
      <c r="D12" s="15" t="n">
        <f aca="false">COUNTIFS('Plan de pruebas'!$A$7:$A$108,"AD-*",'Plan de pruebas'!$I$7:$I$108,"SI")</f>
        <v>3</v>
      </c>
      <c r="E12" s="15" t="n">
        <f aca="false">COUNTIFS('Plan de pruebas'!$A$7:$A$108,"AD-*",'Plan de pruebas'!$I$7:$I$108,"NO")</f>
        <v>0</v>
      </c>
      <c r="F12" s="15" t="n">
        <f aca="false">COUNTIFS('Plan de pruebas'!$A$7:$A$108,"AD-*",'Plan de pruebas'!$I$7:$I$108,"PENDIENTE")</f>
        <v>5</v>
      </c>
      <c r="G12" s="16" t="n">
        <f aca="false">IF(C12=0,"-",D12/C12)</f>
        <v>1</v>
      </c>
    </row>
    <row r="13" customFormat="false" ht="15" hidden="false" customHeight="false" outlineLevel="0" collapsed="false">
      <c r="A13" s="14" t="s">
        <v>676</v>
      </c>
      <c r="B13" s="15" t="n">
        <f aca="false">COUNTIFS('Plan de pruebas'!$A$7:$A$108,"BD-*")</f>
        <v>2</v>
      </c>
      <c r="C13" s="15" t="n">
        <f aca="false">D13+E13</f>
        <v>0</v>
      </c>
      <c r="D13" s="15" t="n">
        <f aca="false">COUNTIFS('Plan de pruebas'!$A$7:$A$108,"BD-*",'Plan de pruebas'!$I$7:$I$108,"SI")</f>
        <v>0</v>
      </c>
      <c r="E13" s="15" t="n">
        <f aca="false">COUNTIFS('Plan de pruebas'!$A$7:$A$108,"BD-*",'Plan de pruebas'!$I$7:$I$108,"NO")</f>
        <v>0</v>
      </c>
      <c r="F13" s="15" t="n">
        <f aca="false">COUNTIFS('Plan de pruebas'!$A$7:$A$108,"BD-*",'Plan de pruebas'!$I$7:$I$108,"PENDIENTE")</f>
        <v>2</v>
      </c>
      <c r="G13" s="16" t="str">
        <f aca="false">IF(C13=0,"-",D13/C13)</f>
        <v>-</v>
      </c>
    </row>
    <row r="14" customFormat="false" ht="15" hidden="false" customHeight="false" outlineLevel="0" collapsed="false">
      <c r="A14" s="14" t="s">
        <v>677</v>
      </c>
      <c r="B14" s="15" t="n">
        <f aca="false">COUNTIFS('Plan de pruebas'!$A$7:$A$108,"DP-*")</f>
        <v>4</v>
      </c>
      <c r="C14" s="15" t="n">
        <f aca="false">D14+E14</f>
        <v>1</v>
      </c>
      <c r="D14" s="15" t="n">
        <f aca="false">COUNTIFS('Plan de pruebas'!$A$7:$A$108,"DP-*",'Plan de pruebas'!$I$7:$I$108,"SI")</f>
        <v>1</v>
      </c>
      <c r="E14" s="15" t="n">
        <f aca="false">COUNTIFS('Plan de pruebas'!$A$7:$A$108,"DP-*",'Plan de pruebas'!$I$7:$I$108,"NO")</f>
        <v>0</v>
      </c>
      <c r="F14" s="15" t="n">
        <f aca="false">COUNTIFS('Plan de pruebas'!$A$7:$A$108,"DP-*",'Plan de pruebas'!$I$7:$I$108,"PENDIENTE")</f>
        <v>3</v>
      </c>
      <c r="G14" s="16" t="n">
        <f aca="false">IF(C14=0,"-",D14/C14)</f>
        <v>1</v>
      </c>
    </row>
    <row r="15" customFormat="false" ht="15" hidden="false" customHeight="false" outlineLevel="0" collapsed="false">
      <c r="A15" s="14" t="s">
        <v>678</v>
      </c>
      <c r="B15" s="15" t="n">
        <f aca="false">COUNTIFS('Plan de pruebas'!$A$7:$A$108,"RNF-*")</f>
        <v>16</v>
      </c>
      <c r="C15" s="15" t="n">
        <f aca="false">D15+E15</f>
        <v>5</v>
      </c>
      <c r="D15" s="15" t="n">
        <f aca="false">COUNTIFS('Plan de pruebas'!$A$7:$A$108,"RNF-*",'Plan de pruebas'!$I$7:$I$108,"SI")</f>
        <v>5</v>
      </c>
      <c r="E15" s="15" t="n">
        <f aca="false">COUNTIFS('Plan de pruebas'!$A$7:$A$108,"RNF-*",'Plan de pruebas'!$I$7:$I$108,"NO")</f>
        <v>0</v>
      </c>
      <c r="F15" s="15" t="n">
        <f aca="false">COUNTIFS('Plan de pruebas'!$A$7:$A$108,"RNF-*",'Plan de pruebas'!$I$7:$I$108,"PENDIENTE")</f>
        <v>11</v>
      </c>
      <c r="G15" s="16" t="n">
        <f aca="false">IF(C15=0,"-",D15/C15)</f>
        <v>1</v>
      </c>
    </row>
    <row r="16" customFormat="false" ht="15" hidden="false" customHeight="false" outlineLevel="0" collapsed="false">
      <c r="A16" s="14" t="s">
        <v>679</v>
      </c>
      <c r="B16" s="15" t="n">
        <f aca="false">COUNTIFS('Plan de pruebas'!$A$7:$A$108,"AC-*")</f>
        <v>3</v>
      </c>
      <c r="C16" s="15" t="n">
        <f aca="false">D16+E16</f>
        <v>0</v>
      </c>
      <c r="D16" s="15" t="n">
        <f aca="false">COUNTIFS('Plan de pruebas'!$A$7:$A$108,"AC-*",'Plan de pruebas'!$I$7:$I$108,"SI")</f>
        <v>0</v>
      </c>
      <c r="E16" s="15" t="n">
        <f aca="false">COUNTIFS('Plan de pruebas'!$A$7:$A$108,"AC-*",'Plan de pruebas'!$I$7:$I$108,"NO")</f>
        <v>0</v>
      </c>
      <c r="F16" s="15" t="n">
        <f aca="false">COUNTIFS('Plan de pruebas'!$A$7:$A$108,"AC-*",'Plan de pruebas'!$I$7:$I$108,"PENDIENTE")</f>
        <v>3</v>
      </c>
      <c r="G16" s="16" t="str">
        <f aca="false">IF(C16=0,"-",D16/C16)</f>
        <v>-</v>
      </c>
    </row>
    <row r="17" customFormat="false" ht="15" hidden="false" customHeight="false" outlineLevel="0" collapsed="false">
      <c r="A17" s="17" t="s">
        <v>680</v>
      </c>
      <c r="B17" s="18" t="n">
        <f aca="false">SUM(B6:B16)</f>
        <v>102</v>
      </c>
      <c r="C17" s="18" t="n">
        <f aca="false">SUM(C6:C16)</f>
        <v>35</v>
      </c>
      <c r="D17" s="18" t="n">
        <f aca="false">SUM(D6:D16)</f>
        <v>34</v>
      </c>
      <c r="E17" s="18" t="n">
        <f aca="false">SUM(E6:E16)</f>
        <v>1</v>
      </c>
      <c r="F17" s="18" t="n">
        <f aca="false">SUM(F6:F16)</f>
        <v>67</v>
      </c>
      <c r="G17" s="19" t="n">
        <f aca="false">IF(C17=0,"-",D17/C17)</f>
        <v>0.971428571428571</v>
      </c>
    </row>
    <row r="19" customFormat="false" ht="15" hidden="false" customHeight="false" outlineLevel="0" collapsed="false">
      <c r="A19" s="13" t="s">
        <v>681</v>
      </c>
    </row>
    <row r="20" customFormat="false" ht="23.85" hidden="false" customHeight="false" outlineLevel="0" collapsed="false">
      <c r="A20" s="7" t="s">
        <v>682</v>
      </c>
      <c r="B20" s="7" t="s">
        <v>663</v>
      </c>
      <c r="C20" s="7" t="s">
        <v>664</v>
      </c>
      <c r="D20" s="7" t="s">
        <v>665</v>
      </c>
      <c r="E20" s="7" t="s">
        <v>666</v>
      </c>
      <c r="F20" s="7" t="s">
        <v>667</v>
      </c>
      <c r="G20" s="7" t="s">
        <v>668</v>
      </c>
    </row>
    <row r="21" customFormat="false" ht="15" hidden="false" customHeight="false" outlineLevel="0" collapsed="false">
      <c r="A21" s="14" t="s">
        <v>23</v>
      </c>
      <c r="B21" s="15" t="n">
        <f aca="false">COUNTIFS('Plan de pruebas'!$B$7:$B$108,"unitario")</f>
        <v>26</v>
      </c>
      <c r="C21" s="15" t="n">
        <f aca="false">D21+E21</f>
        <v>9</v>
      </c>
      <c r="D21" s="15" t="n">
        <f aca="false">COUNTIFS('Plan de pruebas'!$B$7:$B$108,"unitario",'Plan de pruebas'!$I$7:$I$108,"SI")</f>
        <v>9</v>
      </c>
      <c r="E21" s="15" t="n">
        <f aca="false">COUNTIFS('Plan de pruebas'!$B$7:$B$108,"unitario",'Plan de pruebas'!$I$7:$I$108,"NO")</f>
        <v>0</v>
      </c>
      <c r="F21" s="15" t="n">
        <f aca="false">COUNTIFS('Plan de pruebas'!$B$7:$B$108,"unitario",'Plan de pruebas'!$I$7:$I$108,"PENDIENTE")</f>
        <v>17</v>
      </c>
      <c r="G21" s="16" t="n">
        <f aca="false">IF(C21=0,"-",D21/C21)</f>
        <v>1</v>
      </c>
    </row>
    <row r="22" customFormat="false" ht="15" hidden="false" customHeight="false" outlineLevel="0" collapsed="false">
      <c r="A22" s="14" t="s">
        <v>52</v>
      </c>
      <c r="B22" s="15" t="n">
        <f aca="false">COUNTIFS('Plan de pruebas'!$B$7:$B$108,"de integración")</f>
        <v>44</v>
      </c>
      <c r="C22" s="15" t="n">
        <f aca="false">D22+E22</f>
        <v>22</v>
      </c>
      <c r="D22" s="15" t="n">
        <f aca="false">COUNTIFS('Plan de pruebas'!$B$7:$B$108,"de integración",'Plan de pruebas'!$I$7:$I$108,"SI")</f>
        <v>21</v>
      </c>
      <c r="E22" s="15" t="n">
        <f aca="false">COUNTIFS('Plan de pruebas'!$B$7:$B$108,"de integración",'Plan de pruebas'!$I$7:$I$108,"NO")</f>
        <v>1</v>
      </c>
      <c r="F22" s="15" t="n">
        <f aca="false">COUNTIFS('Plan de pruebas'!$B$7:$B$108,"de integración",'Plan de pruebas'!$I$7:$I$108,"PENDIENTE")</f>
        <v>22</v>
      </c>
      <c r="G22" s="16" t="n">
        <f aca="false">IF(C22=0,"-",D22/C22)</f>
        <v>0.954545454545455</v>
      </c>
    </row>
    <row r="23" customFormat="false" ht="15" hidden="false" customHeight="false" outlineLevel="0" collapsed="false">
      <c r="A23" s="14" t="s">
        <v>88</v>
      </c>
      <c r="B23" s="15" t="n">
        <f aca="false">COUNTIFS('Plan de pruebas'!$B$7:$B$108,"del sistema")</f>
        <v>29</v>
      </c>
      <c r="C23" s="15" t="n">
        <f aca="false">D23+E23</f>
        <v>4</v>
      </c>
      <c r="D23" s="15" t="n">
        <f aca="false">COUNTIFS('Plan de pruebas'!$B$7:$B$108,"del sistema",'Plan de pruebas'!$I$7:$I$108,"SI")</f>
        <v>4</v>
      </c>
      <c r="E23" s="15" t="n">
        <f aca="false">COUNTIFS('Plan de pruebas'!$B$7:$B$108,"del sistema",'Plan de pruebas'!$I$7:$I$108,"NO")</f>
        <v>0</v>
      </c>
      <c r="F23" s="15" t="n">
        <f aca="false">COUNTIFS('Plan de pruebas'!$B$7:$B$108,"del sistema",'Plan de pruebas'!$I$7:$I$108,"PENDIENTE")</f>
        <v>25</v>
      </c>
      <c r="G23" s="16" t="n">
        <f aca="false">IF(C23=0,"-",D23/C23)</f>
        <v>1</v>
      </c>
    </row>
    <row r="24" customFormat="false" ht="15" hidden="false" customHeight="false" outlineLevel="0" collapsed="false">
      <c r="A24" s="14" t="s">
        <v>640</v>
      </c>
      <c r="B24" s="15" t="n">
        <f aca="false">COUNTIFS('Plan de pruebas'!$B$7:$B$108,"de aceptación")</f>
        <v>3</v>
      </c>
      <c r="C24" s="15" t="n">
        <f aca="false">D24+E24</f>
        <v>0</v>
      </c>
      <c r="D24" s="15" t="n">
        <f aca="false">COUNTIFS('Plan de pruebas'!$B$7:$B$108,"de aceptación",'Plan de pruebas'!$I$7:$I$108,"SI")</f>
        <v>0</v>
      </c>
      <c r="E24" s="15" t="n">
        <f aca="false">COUNTIFS('Plan de pruebas'!$B$7:$B$108,"de aceptación",'Plan de pruebas'!$I$7:$I$108,"NO")</f>
        <v>0</v>
      </c>
      <c r="F24" s="15" t="n">
        <f aca="false">COUNTIFS('Plan de pruebas'!$B$7:$B$108,"de aceptación",'Plan de pruebas'!$I$7:$I$108,"PENDIENTE")</f>
        <v>3</v>
      </c>
      <c r="G24" s="16" t="str">
        <f aca="false">IF(C24=0,"-",D24/C24)</f>
        <v>-</v>
      </c>
    </row>
    <row r="25" customFormat="false" ht="15" hidden="false" customHeight="false" outlineLevel="0" collapsed="false">
      <c r="A25" s="17" t="s">
        <v>680</v>
      </c>
      <c r="B25" s="18" t="n">
        <f aca="false">SUM(B21:B24)</f>
        <v>102</v>
      </c>
      <c r="C25" s="18" t="n">
        <f aca="false">SUM(C21:C24)</f>
        <v>35</v>
      </c>
      <c r="D25" s="18" t="n">
        <f aca="false">SUM(D21:D24)</f>
        <v>34</v>
      </c>
      <c r="E25" s="18" t="n">
        <f aca="false">SUM(E21:E24)</f>
        <v>1</v>
      </c>
      <c r="F25" s="18" t="n">
        <f aca="false">SUM(F21:F24)</f>
        <v>67</v>
      </c>
      <c r="G25" s="19" t="n">
        <f aca="false">IF(C25=0,"-",D25/C25)</f>
        <v>0.971428571428571</v>
      </c>
    </row>
    <row r="27" customFormat="false" ht="15" hidden="false" customHeight="false" outlineLevel="0" collapsed="false">
      <c r="A27" s="13" t="s">
        <v>683</v>
      </c>
    </row>
    <row r="28" customFormat="false" ht="23.85" hidden="false" customHeight="false" outlineLevel="0" collapsed="false">
      <c r="A28" s="7" t="s">
        <v>684</v>
      </c>
      <c r="B28" s="7" t="s">
        <v>663</v>
      </c>
      <c r="C28" s="7" t="s">
        <v>664</v>
      </c>
      <c r="D28" s="7" t="s">
        <v>665</v>
      </c>
      <c r="E28" s="7" t="s">
        <v>666</v>
      </c>
      <c r="F28" s="7" t="s">
        <v>667</v>
      </c>
      <c r="G28" s="7" t="s">
        <v>668</v>
      </c>
    </row>
    <row r="29" customFormat="false" ht="15" hidden="false" customHeight="false" outlineLevel="0" collapsed="false">
      <c r="A29" s="14" t="s">
        <v>5</v>
      </c>
      <c r="B29" s="15" t="n">
        <f aca="false">COUNTIFS('Plan de pruebas'!$C$7:$C$108,"Nicolas Diaz")</f>
        <v>34</v>
      </c>
      <c r="C29" s="15" t="n">
        <f aca="false">D29+E29</f>
        <v>8</v>
      </c>
      <c r="D29" s="15" t="n">
        <f aca="false">COUNTIFS('Plan de pruebas'!$C$7:$C$108,"Nicolas Diaz",'Plan de pruebas'!$I$7:$I$108,"SI")</f>
        <v>8</v>
      </c>
      <c r="E29" s="15" t="n">
        <f aca="false">COUNTIFS('Plan de pruebas'!$C$7:$C$108,"Nicolas Diaz",'Plan de pruebas'!$I$7:$I$108,"NO")</f>
        <v>0</v>
      </c>
      <c r="F29" s="15" t="n">
        <f aca="false">COUNTIFS('Plan de pruebas'!$C$7:$C$108,"Nicolas Diaz",'Plan de pruebas'!$I$7:$I$108,"PENDIENTE")</f>
        <v>26</v>
      </c>
      <c r="G29" s="16" t="n">
        <f aca="false">IF(C29=0,"-",D29/C29)</f>
        <v>1</v>
      </c>
    </row>
    <row r="30" customFormat="false" ht="15" hidden="false" customHeight="false" outlineLevel="0" collapsed="false">
      <c r="A30" s="14" t="s">
        <v>6</v>
      </c>
      <c r="B30" s="15" t="n">
        <f aca="false">COUNTIFS('Plan de pruebas'!$C$7:$C$108,"Jenifer Urbano")</f>
        <v>34</v>
      </c>
      <c r="C30" s="15" t="n">
        <f aca="false">D30+E30</f>
        <v>14</v>
      </c>
      <c r="D30" s="15" t="n">
        <f aca="false">COUNTIFS('Plan de pruebas'!$C$7:$C$108,"Jenifer Urbano",'Plan de pruebas'!$I$7:$I$108,"SI")</f>
        <v>14</v>
      </c>
      <c r="E30" s="15" t="n">
        <f aca="false">COUNTIFS('Plan de pruebas'!$C$7:$C$108,"Jenifer Urbano",'Plan de pruebas'!$I$7:$I$108,"NO")</f>
        <v>0</v>
      </c>
      <c r="F30" s="15" t="n">
        <f aca="false">COUNTIFS('Plan de pruebas'!$C$7:$C$108,"Jenifer Urbano",'Plan de pruebas'!$I$7:$I$108,"PENDIENTE")</f>
        <v>20</v>
      </c>
      <c r="G30" s="16" t="n">
        <f aca="false">IF(C30=0,"-",D30/C30)</f>
        <v>1</v>
      </c>
    </row>
    <row r="31" customFormat="false" ht="15" hidden="false" customHeight="false" outlineLevel="0" collapsed="false">
      <c r="A31" s="14" t="s">
        <v>7</v>
      </c>
      <c r="B31" s="15" t="n">
        <f aca="false">COUNTIFS('Plan de pruebas'!$C$7:$C$108,"Juan Camilo Lopez")</f>
        <v>34</v>
      </c>
      <c r="C31" s="15" t="n">
        <f aca="false">D31+E31</f>
        <v>13</v>
      </c>
      <c r="D31" s="15" t="n">
        <f aca="false">COUNTIFS('Plan de pruebas'!$C$7:$C$108,"Juan Camilo Lopez",'Plan de pruebas'!$I$7:$I$108,"SI")</f>
        <v>12</v>
      </c>
      <c r="E31" s="15" t="n">
        <f aca="false">COUNTIFS('Plan de pruebas'!$C$7:$C$108,"Juan Camilo Lopez",'Plan de pruebas'!$I$7:$I$108,"NO")</f>
        <v>1</v>
      </c>
      <c r="F31" s="15" t="n">
        <f aca="false">COUNTIFS('Plan de pruebas'!$C$7:$C$108,"Juan Camilo Lopez",'Plan de pruebas'!$I$7:$I$108,"PENDIENTE")</f>
        <v>21</v>
      </c>
      <c r="G31" s="16" t="n">
        <f aca="false">IF(C31=0,"-",D31/C31)</f>
        <v>0.923076923076923</v>
      </c>
    </row>
    <row r="32" customFormat="false" ht="15" hidden="false" customHeight="false" outlineLevel="0" collapsed="false">
      <c r="A32" s="17" t="s">
        <v>680</v>
      </c>
      <c r="B32" s="18" t="n">
        <f aca="false">SUM(B29:B31)</f>
        <v>102</v>
      </c>
      <c r="C32" s="18" t="n">
        <f aca="false">SUM(C29:C31)</f>
        <v>35</v>
      </c>
      <c r="D32" s="18" t="n">
        <f aca="false">SUM(D29:D31)</f>
        <v>34</v>
      </c>
      <c r="E32" s="18" t="n">
        <f aca="false">SUM(E29:E31)</f>
        <v>1</v>
      </c>
      <c r="F32" s="18" t="n">
        <f aca="false">SUM(F29:F31)</f>
        <v>67</v>
      </c>
      <c r="G32" s="19" t="n">
        <f aca="false">IF(C32=0,"-",D32/C32)</f>
        <v>0.971428571428571</v>
      </c>
    </row>
    <row r="34" customFormat="false" ht="15" hidden="false" customHeight="false" outlineLevel="0" collapsed="false">
      <c r="A34" s="13" t="s">
        <v>685</v>
      </c>
    </row>
    <row r="35" customFormat="false" ht="23.85" hidden="false" customHeight="false" outlineLevel="0" collapsed="false">
      <c r="A35" s="7" t="s">
        <v>19</v>
      </c>
      <c r="B35" s="7" t="s">
        <v>663</v>
      </c>
      <c r="C35" s="7" t="s">
        <v>664</v>
      </c>
      <c r="D35" s="7" t="s">
        <v>665</v>
      </c>
      <c r="E35" s="7" t="s">
        <v>666</v>
      </c>
      <c r="F35" s="7" t="s">
        <v>667</v>
      </c>
      <c r="G35" s="7" t="s">
        <v>668</v>
      </c>
    </row>
    <row r="36" customFormat="false" ht="15" hidden="false" customHeight="false" outlineLevel="0" collapsed="false">
      <c r="A36" s="14" t="s">
        <v>72</v>
      </c>
      <c r="B36" s="15" t="n">
        <f aca="false">COUNTIFS('Plan de pruebas'!$L$7:$L$108,"Prototipo React (demo estática)")</f>
        <v>51</v>
      </c>
      <c r="C36" s="15" t="n">
        <f aca="false">D36+E36</f>
        <v>35</v>
      </c>
      <c r="D36" s="15" t="n">
        <f aca="false">COUNTIFS('Plan de pruebas'!$L$7:$L$108,"Prototipo React (demo estática)",'Plan de pruebas'!$I$7:$I$108,"SI")</f>
        <v>34</v>
      </c>
      <c r="E36" s="15" t="n">
        <f aca="false">COUNTIFS('Plan de pruebas'!$L$7:$L$108,"Prototipo React (demo estática)",'Plan de pruebas'!$I$7:$I$108,"NO")</f>
        <v>1</v>
      </c>
      <c r="F36" s="15" t="n">
        <f aca="false">COUNTIFS('Plan de pruebas'!$L$7:$L$108,"Prototipo React (demo estática)",'Plan de pruebas'!$I$7:$I$108,"PENDIENTE")</f>
        <v>16</v>
      </c>
      <c r="G36" s="16" t="n">
        <f aca="false">IF(C36=0,"-",D36/C36)</f>
        <v>0.971428571428571</v>
      </c>
    </row>
    <row r="37" customFormat="false" ht="15" hidden="false" customHeight="false" outlineLevel="0" collapsed="false">
      <c r="A37" s="14" t="s">
        <v>31</v>
      </c>
      <c r="B37" s="15" t="n">
        <f aca="false">COUNTIFS('Plan de pruebas'!$L$7:$L$108,"Plataforma (Django + PostgreSQL/PostGIS + AWS)")</f>
        <v>51</v>
      </c>
      <c r="C37" s="15" t="n">
        <f aca="false">D37+E37</f>
        <v>0</v>
      </c>
      <c r="D37" s="15" t="n">
        <f aca="false">COUNTIFS('Plan de pruebas'!$L$7:$L$108,"Plataforma (Django + PostgreSQL/PostGIS + AWS)",'Plan de pruebas'!$I$7:$I$108,"SI")</f>
        <v>0</v>
      </c>
      <c r="E37" s="15" t="n">
        <f aca="false">COUNTIFS('Plan de pruebas'!$L$7:$L$108,"Plataforma (Django + PostgreSQL/PostGIS + AWS)",'Plan de pruebas'!$I$7:$I$108,"NO")</f>
        <v>0</v>
      </c>
      <c r="F37" s="15" t="n">
        <f aca="false">COUNTIFS('Plan de pruebas'!$L$7:$L$108,"Plataforma (Django + PostgreSQL/PostGIS + AWS)",'Plan de pruebas'!$I$7:$I$108,"PENDIENTE")</f>
        <v>51</v>
      </c>
      <c r="G37" s="16" t="str">
        <f aca="false">IF(C37=0,"-",D37/C37)</f>
        <v>-</v>
      </c>
    </row>
    <row r="38" customFormat="false" ht="15" hidden="false" customHeight="false" outlineLevel="0" collapsed="false">
      <c r="A38" s="17" t="s">
        <v>680</v>
      </c>
      <c r="B38" s="18" t="n">
        <f aca="false">SUM(B36:B37)</f>
        <v>102</v>
      </c>
      <c r="C38" s="18" t="n">
        <f aca="false">SUM(C36:C37)</f>
        <v>35</v>
      </c>
      <c r="D38" s="18" t="n">
        <f aca="false">SUM(D36:D37)</f>
        <v>34</v>
      </c>
      <c r="E38" s="18" t="n">
        <f aca="false">SUM(E36:E37)</f>
        <v>1</v>
      </c>
      <c r="F38" s="18" t="n">
        <f aca="false">SUM(F36:F37)</f>
        <v>67</v>
      </c>
      <c r="G38" s="19" t="n">
        <f aca="false">IF(C38=0,"-",D38/C38)</f>
        <v>0.971428571428571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3" min="3" style="0" width="9"/>
    <col collapsed="false" customWidth="true" hidden="false" outlineLevel="0" max="6" min="4" style="0" width="11"/>
    <col collapsed="false" customWidth="true" hidden="false" outlineLevel="0" max="7" min="7" style="0" width="22"/>
  </cols>
  <sheetData>
    <row r="1" customFormat="false" ht="17.35" hidden="false" customHeight="false" outlineLevel="0" collapsed="false">
      <c r="A1" s="12" t="s">
        <v>686</v>
      </c>
    </row>
    <row r="2" customFormat="false" ht="15" hidden="false" customHeight="false" outlineLevel="0" collapsed="false">
      <c r="A2" s="3" t="s">
        <v>687</v>
      </c>
    </row>
    <row r="4" customFormat="false" ht="15" hidden="false" customHeight="false" outlineLevel="0" collapsed="false">
      <c r="A4" s="7" t="s">
        <v>688</v>
      </c>
      <c r="B4" s="7" t="s">
        <v>689</v>
      </c>
      <c r="C4" s="7" t="s">
        <v>663</v>
      </c>
      <c r="D4" s="7" t="s">
        <v>665</v>
      </c>
      <c r="E4" s="7" t="s">
        <v>666</v>
      </c>
      <c r="F4" s="7" t="s">
        <v>667</v>
      </c>
      <c r="G4" s="7" t="s">
        <v>690</v>
      </c>
    </row>
    <row r="5" customFormat="false" ht="15" hidden="false" customHeight="false" outlineLevel="0" collapsed="false">
      <c r="A5" s="8" t="s">
        <v>691</v>
      </c>
      <c r="B5" s="10" t="s">
        <v>692</v>
      </c>
      <c r="C5" s="15" t="n">
        <f aca="false">SUMPRODUCT(--ISNUMBER(SEARCH("; "&amp;$A5&amp;";","; "&amp;'Plan de pruebas'!$M$7:$M$108&amp;";")))</f>
        <v>5</v>
      </c>
      <c r="D5" s="15" t="n">
        <f aca="false">SUMPRODUCT(--ISNUMBER(SEARCH("; "&amp;$A5&amp;";","; "&amp;'Plan de pruebas'!$M$7:$M$108&amp;";")),--('Plan de pruebas'!$I$7:$I$108="SI"))</f>
        <v>0</v>
      </c>
      <c r="E5" s="15" t="n">
        <f aca="false">SUMPRODUCT(--ISNUMBER(SEARCH("; "&amp;$A5&amp;";","; "&amp;'Plan de pruebas'!$M$7:$M$108&amp;";")),--('Plan de pruebas'!$I$7:$I$108="NO"))</f>
        <v>0</v>
      </c>
      <c r="F5" s="15" t="n">
        <f aca="false">SUMPRODUCT(--ISNUMBER(SEARCH("; "&amp;$A5&amp;";","; "&amp;'Plan de pruebas'!$M$7:$M$108&amp;";")),--('Plan de pruebas'!$I$7:$I$108="PENDIENTE"))</f>
        <v>5</v>
      </c>
      <c r="G5" s="15" t="str">
        <f aca="false">IF(C5=0,"SIN CUBRIR",IF(E5&gt;0,"CON FALLAS",IF(D5&gt;0,"VERIFICADO (parcial)","PLANIFICADO")))</f>
        <v>PLANIFICADO</v>
      </c>
    </row>
    <row r="6" customFormat="false" ht="15" hidden="false" customHeight="false" outlineLevel="0" collapsed="false">
      <c r="A6" s="8" t="s">
        <v>693</v>
      </c>
      <c r="B6" s="10" t="s">
        <v>694</v>
      </c>
      <c r="C6" s="15" t="n">
        <f aca="false">SUMPRODUCT(--ISNUMBER(SEARCH("; "&amp;$A6&amp;";","; "&amp;'Plan de pruebas'!$M$7:$M$108&amp;";")))</f>
        <v>3</v>
      </c>
      <c r="D6" s="15" t="n">
        <f aca="false">SUMPRODUCT(--ISNUMBER(SEARCH("; "&amp;$A6&amp;";","; "&amp;'Plan de pruebas'!$M$7:$M$108&amp;";")),--('Plan de pruebas'!$I$7:$I$108="SI"))</f>
        <v>1</v>
      </c>
      <c r="E6" s="15" t="n">
        <f aca="false">SUMPRODUCT(--ISNUMBER(SEARCH("; "&amp;$A6&amp;";","; "&amp;'Plan de pruebas'!$M$7:$M$108&amp;";")),--('Plan de pruebas'!$I$7:$I$108="NO"))</f>
        <v>0</v>
      </c>
      <c r="F6" s="15" t="n">
        <f aca="false">SUMPRODUCT(--ISNUMBER(SEARCH("; "&amp;$A6&amp;";","; "&amp;'Plan de pruebas'!$M$7:$M$108&amp;";")),--('Plan de pruebas'!$I$7:$I$108="PENDIENTE"))</f>
        <v>2</v>
      </c>
      <c r="G6" s="15" t="str">
        <f aca="false">IF(C6=0,"SIN CUBRIR",IF(E6&gt;0,"CON FALLAS",IF(D6&gt;0,"VERIFICADO (parcial)","PLANIFICADO")))</f>
        <v>VERIFICADO (parcial)</v>
      </c>
    </row>
    <row r="7" customFormat="false" ht="15" hidden="false" customHeight="false" outlineLevel="0" collapsed="false">
      <c r="A7" s="8" t="s">
        <v>695</v>
      </c>
      <c r="B7" s="10" t="s">
        <v>696</v>
      </c>
      <c r="C7" s="15" t="n">
        <f aca="false">SUMPRODUCT(--ISNUMBER(SEARCH("; "&amp;$A7&amp;";","; "&amp;'Plan de pruebas'!$M$7:$M$108&amp;";")))</f>
        <v>4</v>
      </c>
      <c r="D7" s="15" t="n">
        <f aca="false">SUMPRODUCT(--ISNUMBER(SEARCH("; "&amp;$A7&amp;";","; "&amp;'Plan de pruebas'!$M$7:$M$108&amp;";")),--('Plan de pruebas'!$I$7:$I$108="SI"))</f>
        <v>1</v>
      </c>
      <c r="E7" s="15" t="n">
        <f aca="false">SUMPRODUCT(--ISNUMBER(SEARCH("; "&amp;$A7&amp;";","; "&amp;'Plan de pruebas'!$M$7:$M$108&amp;";")),--('Plan de pruebas'!$I$7:$I$108="NO"))</f>
        <v>0</v>
      </c>
      <c r="F7" s="15" t="n">
        <f aca="false">SUMPRODUCT(--ISNUMBER(SEARCH("; "&amp;$A7&amp;";","; "&amp;'Plan de pruebas'!$M$7:$M$108&amp;";")),--('Plan de pruebas'!$I$7:$I$108="PENDIENTE"))</f>
        <v>3</v>
      </c>
      <c r="G7" s="15" t="str">
        <f aca="false">IF(C7=0,"SIN CUBRIR",IF(E7&gt;0,"CON FALLAS",IF(D7&gt;0,"VERIFICADO (parcial)","PLANIFICADO")))</f>
        <v>VERIFICADO (parcial)</v>
      </c>
    </row>
    <row r="8" customFormat="false" ht="15" hidden="false" customHeight="false" outlineLevel="0" collapsed="false">
      <c r="A8" s="8" t="s">
        <v>697</v>
      </c>
      <c r="B8" s="10" t="s">
        <v>698</v>
      </c>
      <c r="C8" s="15" t="n">
        <f aca="false">SUMPRODUCT(--ISNUMBER(SEARCH("; "&amp;$A8&amp;";","; "&amp;'Plan de pruebas'!$M$7:$M$108&amp;";")))</f>
        <v>3</v>
      </c>
      <c r="D8" s="15" t="n">
        <f aca="false">SUMPRODUCT(--ISNUMBER(SEARCH("; "&amp;$A8&amp;";","; "&amp;'Plan de pruebas'!$M$7:$M$108&amp;";")),--('Plan de pruebas'!$I$7:$I$108="SI"))</f>
        <v>1</v>
      </c>
      <c r="E8" s="15" t="n">
        <f aca="false">SUMPRODUCT(--ISNUMBER(SEARCH("; "&amp;$A8&amp;";","; "&amp;'Plan de pruebas'!$M$7:$M$108&amp;";")),--('Plan de pruebas'!$I$7:$I$108="NO"))</f>
        <v>0</v>
      </c>
      <c r="F8" s="15" t="n">
        <f aca="false">SUMPRODUCT(--ISNUMBER(SEARCH("; "&amp;$A8&amp;";","; "&amp;'Plan de pruebas'!$M$7:$M$108&amp;";")),--('Plan de pruebas'!$I$7:$I$108="PENDIENTE"))</f>
        <v>2</v>
      </c>
      <c r="G8" s="15" t="str">
        <f aca="false">IF(C8=0,"SIN CUBRIR",IF(E8&gt;0,"CON FALLAS",IF(D8&gt;0,"VERIFICADO (parcial)","PLANIFICADO")))</f>
        <v>VERIFICADO (parcial)</v>
      </c>
    </row>
    <row r="9" customFormat="false" ht="15" hidden="false" customHeight="false" outlineLevel="0" collapsed="false">
      <c r="A9" s="8" t="s">
        <v>699</v>
      </c>
      <c r="B9" s="10" t="s">
        <v>700</v>
      </c>
      <c r="C9" s="15" t="n">
        <f aca="false">SUMPRODUCT(--ISNUMBER(SEARCH("; "&amp;$A9&amp;";","; "&amp;'Plan de pruebas'!$M$7:$M$108&amp;";")))</f>
        <v>7</v>
      </c>
      <c r="D9" s="15" t="n">
        <f aca="false">SUMPRODUCT(--ISNUMBER(SEARCH("; "&amp;$A9&amp;";","; "&amp;'Plan de pruebas'!$M$7:$M$108&amp;";")),--('Plan de pruebas'!$I$7:$I$108="SI"))</f>
        <v>1</v>
      </c>
      <c r="E9" s="15" t="n">
        <f aca="false">SUMPRODUCT(--ISNUMBER(SEARCH("; "&amp;$A9&amp;";","; "&amp;'Plan de pruebas'!$M$7:$M$108&amp;";")),--('Plan de pruebas'!$I$7:$I$108="NO"))</f>
        <v>0</v>
      </c>
      <c r="F9" s="15" t="n">
        <f aca="false">SUMPRODUCT(--ISNUMBER(SEARCH("; "&amp;$A9&amp;";","; "&amp;'Plan de pruebas'!$M$7:$M$108&amp;";")),--('Plan de pruebas'!$I$7:$I$108="PENDIENTE"))</f>
        <v>6</v>
      </c>
      <c r="G9" s="15" t="str">
        <f aca="false">IF(C9=0,"SIN CUBRIR",IF(E9&gt;0,"CON FALLAS",IF(D9&gt;0,"VERIFICADO (parcial)","PLANIFICADO")))</f>
        <v>VERIFICADO (parcial)</v>
      </c>
    </row>
    <row r="10" customFormat="false" ht="15" hidden="false" customHeight="false" outlineLevel="0" collapsed="false">
      <c r="A10" s="8" t="s">
        <v>701</v>
      </c>
      <c r="B10" s="10" t="s">
        <v>702</v>
      </c>
      <c r="C10" s="15" t="n">
        <f aca="false">SUMPRODUCT(--ISNUMBER(SEARCH("; "&amp;$A10&amp;";","; "&amp;'Plan de pruebas'!$M$7:$M$108&amp;";")))</f>
        <v>7</v>
      </c>
      <c r="D10" s="15" t="n">
        <f aca="false">SUMPRODUCT(--ISNUMBER(SEARCH("; "&amp;$A10&amp;";","; "&amp;'Plan de pruebas'!$M$7:$M$108&amp;";")),--('Plan de pruebas'!$I$7:$I$108="SI"))</f>
        <v>2</v>
      </c>
      <c r="E10" s="15" t="n">
        <f aca="false">SUMPRODUCT(--ISNUMBER(SEARCH("; "&amp;$A10&amp;";","; "&amp;'Plan de pruebas'!$M$7:$M$108&amp;";")),--('Plan de pruebas'!$I$7:$I$108="NO"))</f>
        <v>1</v>
      </c>
      <c r="F10" s="15" t="n">
        <f aca="false">SUMPRODUCT(--ISNUMBER(SEARCH("; "&amp;$A10&amp;";","; "&amp;'Plan de pruebas'!$M$7:$M$108&amp;";")),--('Plan de pruebas'!$I$7:$I$108="PENDIENTE"))</f>
        <v>4</v>
      </c>
      <c r="G10" s="15" t="str">
        <f aca="false">IF(C10=0,"SIN CUBRIR",IF(E10&gt;0,"CON FALLAS",IF(D10&gt;0,"VERIFICADO (parcial)","PLANIFICADO")))</f>
        <v>CON FALLAS</v>
      </c>
    </row>
    <row r="11" customFormat="false" ht="15" hidden="false" customHeight="false" outlineLevel="0" collapsed="false">
      <c r="A11" s="8" t="s">
        <v>703</v>
      </c>
      <c r="B11" s="10" t="s">
        <v>704</v>
      </c>
      <c r="C11" s="15" t="n">
        <f aca="false">SUMPRODUCT(--ISNUMBER(SEARCH("; "&amp;$A11&amp;";","; "&amp;'Plan de pruebas'!$M$7:$M$108&amp;";")))</f>
        <v>7</v>
      </c>
      <c r="D11" s="15" t="n">
        <f aca="false">SUMPRODUCT(--ISNUMBER(SEARCH("; "&amp;$A11&amp;";","; "&amp;'Plan de pruebas'!$M$7:$M$108&amp;";")),--('Plan de pruebas'!$I$7:$I$108="SI"))</f>
        <v>3</v>
      </c>
      <c r="E11" s="15" t="n">
        <f aca="false">SUMPRODUCT(--ISNUMBER(SEARCH("; "&amp;$A11&amp;";","; "&amp;'Plan de pruebas'!$M$7:$M$108&amp;";")),--('Plan de pruebas'!$I$7:$I$108="NO"))</f>
        <v>1</v>
      </c>
      <c r="F11" s="15" t="n">
        <f aca="false">SUMPRODUCT(--ISNUMBER(SEARCH("; "&amp;$A11&amp;";","; "&amp;'Plan de pruebas'!$M$7:$M$108&amp;";")),--('Plan de pruebas'!$I$7:$I$108="PENDIENTE"))</f>
        <v>3</v>
      </c>
      <c r="G11" s="15" t="str">
        <f aca="false">IF(C11=0,"SIN CUBRIR",IF(E11&gt;0,"CON FALLAS",IF(D11&gt;0,"VERIFICADO (parcial)","PLANIFICADO")))</f>
        <v>CON FALLAS</v>
      </c>
    </row>
    <row r="12" customFormat="false" ht="15" hidden="false" customHeight="false" outlineLevel="0" collapsed="false">
      <c r="A12" s="8" t="s">
        <v>705</v>
      </c>
      <c r="B12" s="10" t="s">
        <v>706</v>
      </c>
      <c r="C12" s="15" t="n">
        <f aca="false">SUMPRODUCT(--ISNUMBER(SEARCH("; "&amp;$A12&amp;";","; "&amp;'Plan de pruebas'!$M$7:$M$108&amp;";")))</f>
        <v>1</v>
      </c>
      <c r="D12" s="15" t="n">
        <f aca="false">SUMPRODUCT(--ISNUMBER(SEARCH("; "&amp;$A12&amp;";","; "&amp;'Plan de pruebas'!$M$7:$M$108&amp;";")),--('Plan de pruebas'!$I$7:$I$108="SI"))</f>
        <v>0</v>
      </c>
      <c r="E12" s="15" t="n">
        <f aca="false">SUMPRODUCT(--ISNUMBER(SEARCH("; "&amp;$A12&amp;";","; "&amp;'Plan de pruebas'!$M$7:$M$108&amp;";")),--('Plan de pruebas'!$I$7:$I$108="NO"))</f>
        <v>0</v>
      </c>
      <c r="F12" s="15" t="n">
        <f aca="false">SUMPRODUCT(--ISNUMBER(SEARCH("; "&amp;$A12&amp;";","; "&amp;'Plan de pruebas'!$M$7:$M$108&amp;";")),--('Plan de pruebas'!$I$7:$I$108="PENDIENTE"))</f>
        <v>1</v>
      </c>
      <c r="G12" s="15" t="str">
        <f aca="false">IF(C12=0,"SIN CUBRIR",IF(E12&gt;0,"CON FALLAS",IF(D12&gt;0,"VERIFICADO (parcial)","PLANIFICADO")))</f>
        <v>PLANIFICADO</v>
      </c>
    </row>
    <row r="13" customFormat="false" ht="15" hidden="false" customHeight="false" outlineLevel="0" collapsed="false">
      <c r="A13" s="8" t="s">
        <v>707</v>
      </c>
      <c r="B13" s="10" t="s">
        <v>708</v>
      </c>
      <c r="C13" s="15" t="n">
        <f aca="false">SUMPRODUCT(--ISNUMBER(SEARCH("; "&amp;$A13&amp;";","; "&amp;'Plan de pruebas'!$M$7:$M$108&amp;";")))</f>
        <v>8</v>
      </c>
      <c r="D13" s="15" t="n">
        <f aca="false">SUMPRODUCT(--ISNUMBER(SEARCH("; "&amp;$A13&amp;";","; "&amp;'Plan de pruebas'!$M$7:$M$108&amp;";")),--('Plan de pruebas'!$I$7:$I$108="SI"))</f>
        <v>3</v>
      </c>
      <c r="E13" s="15" t="n">
        <f aca="false">SUMPRODUCT(--ISNUMBER(SEARCH("; "&amp;$A13&amp;";","; "&amp;'Plan de pruebas'!$M$7:$M$108&amp;";")),--('Plan de pruebas'!$I$7:$I$108="NO"))</f>
        <v>0</v>
      </c>
      <c r="F13" s="15" t="n">
        <f aca="false">SUMPRODUCT(--ISNUMBER(SEARCH("; "&amp;$A13&amp;";","; "&amp;'Plan de pruebas'!$M$7:$M$108&amp;";")),--('Plan de pruebas'!$I$7:$I$108="PENDIENTE"))</f>
        <v>5</v>
      </c>
      <c r="G13" s="15" t="str">
        <f aca="false">IF(C13=0,"SIN CUBRIR",IF(E13&gt;0,"CON FALLAS",IF(D13&gt;0,"VERIFICADO (parcial)","PLANIFICADO")))</f>
        <v>VERIFICADO (parcial)</v>
      </c>
    </row>
    <row r="14" customFormat="false" ht="15" hidden="false" customHeight="false" outlineLevel="0" collapsed="false">
      <c r="A14" s="8" t="s">
        <v>709</v>
      </c>
      <c r="B14" s="10" t="s">
        <v>206</v>
      </c>
      <c r="C14" s="15" t="n">
        <f aca="false">SUMPRODUCT(--ISNUMBER(SEARCH("; "&amp;$A14&amp;";","; "&amp;'Plan de pruebas'!$M$7:$M$108&amp;";")))</f>
        <v>4</v>
      </c>
      <c r="D14" s="15" t="n">
        <f aca="false">SUMPRODUCT(--ISNUMBER(SEARCH("; "&amp;$A14&amp;";","; "&amp;'Plan de pruebas'!$M$7:$M$108&amp;";")),--('Plan de pruebas'!$I$7:$I$108="SI"))</f>
        <v>0</v>
      </c>
      <c r="E14" s="15" t="n">
        <f aca="false">SUMPRODUCT(--ISNUMBER(SEARCH("; "&amp;$A14&amp;";","; "&amp;'Plan de pruebas'!$M$7:$M$108&amp;";")),--('Plan de pruebas'!$I$7:$I$108="NO"))</f>
        <v>0</v>
      </c>
      <c r="F14" s="15" t="n">
        <f aca="false">SUMPRODUCT(--ISNUMBER(SEARCH("; "&amp;$A14&amp;";","; "&amp;'Plan de pruebas'!$M$7:$M$108&amp;";")),--('Plan de pruebas'!$I$7:$I$108="PENDIENTE"))</f>
        <v>4</v>
      </c>
      <c r="G14" s="15" t="str">
        <f aca="false">IF(C14=0,"SIN CUBRIR",IF(E14&gt;0,"CON FALLAS",IF(D14&gt;0,"VERIFICADO (parcial)","PLANIFICADO")))</f>
        <v>PLANIFICADO</v>
      </c>
    </row>
    <row r="15" customFormat="false" ht="15" hidden="false" customHeight="false" outlineLevel="0" collapsed="false">
      <c r="A15" s="8" t="s">
        <v>710</v>
      </c>
      <c r="B15" s="10" t="s">
        <v>711</v>
      </c>
      <c r="C15" s="15" t="n">
        <f aca="false">SUMPRODUCT(--ISNUMBER(SEARCH("; "&amp;$A15&amp;";","; "&amp;'Plan de pruebas'!$M$7:$M$108&amp;";")))</f>
        <v>4</v>
      </c>
      <c r="D15" s="15" t="n">
        <f aca="false">SUMPRODUCT(--ISNUMBER(SEARCH("; "&amp;$A15&amp;";","; "&amp;'Plan de pruebas'!$M$7:$M$108&amp;";")),--('Plan de pruebas'!$I$7:$I$108="SI"))</f>
        <v>2</v>
      </c>
      <c r="E15" s="15" t="n">
        <f aca="false">SUMPRODUCT(--ISNUMBER(SEARCH("; "&amp;$A15&amp;";","; "&amp;'Plan de pruebas'!$M$7:$M$108&amp;";")),--('Plan de pruebas'!$I$7:$I$108="NO"))</f>
        <v>0</v>
      </c>
      <c r="F15" s="15" t="n">
        <f aca="false">SUMPRODUCT(--ISNUMBER(SEARCH("; "&amp;$A15&amp;";","; "&amp;'Plan de pruebas'!$M$7:$M$108&amp;";")),--('Plan de pruebas'!$I$7:$I$108="PENDIENTE"))</f>
        <v>2</v>
      </c>
      <c r="G15" s="15" t="str">
        <f aca="false">IF(C15=0,"SIN CUBRIR",IF(E15&gt;0,"CON FALLAS",IF(D15&gt;0,"VERIFICADO (parcial)","PLANIFICADO")))</f>
        <v>VERIFICADO (parcial)</v>
      </c>
    </row>
    <row r="16" customFormat="false" ht="15" hidden="false" customHeight="false" outlineLevel="0" collapsed="false">
      <c r="A16" s="8" t="s">
        <v>712</v>
      </c>
      <c r="B16" s="10" t="s">
        <v>713</v>
      </c>
      <c r="C16" s="15" t="n">
        <f aca="false">SUMPRODUCT(--ISNUMBER(SEARCH("; "&amp;$A16&amp;";","; "&amp;'Plan de pruebas'!$M$7:$M$108&amp;";")))</f>
        <v>6</v>
      </c>
      <c r="D16" s="15" t="n">
        <f aca="false">SUMPRODUCT(--ISNUMBER(SEARCH("; "&amp;$A16&amp;";","; "&amp;'Plan de pruebas'!$M$7:$M$108&amp;";")),--('Plan de pruebas'!$I$7:$I$108="SI"))</f>
        <v>2</v>
      </c>
      <c r="E16" s="15" t="n">
        <f aca="false">SUMPRODUCT(--ISNUMBER(SEARCH("; "&amp;$A16&amp;";","; "&amp;'Plan de pruebas'!$M$7:$M$108&amp;";")),--('Plan de pruebas'!$I$7:$I$108="NO"))</f>
        <v>0</v>
      </c>
      <c r="F16" s="15" t="n">
        <f aca="false">SUMPRODUCT(--ISNUMBER(SEARCH("; "&amp;$A16&amp;";","; "&amp;'Plan de pruebas'!$M$7:$M$108&amp;";")),--('Plan de pruebas'!$I$7:$I$108="PENDIENTE"))</f>
        <v>4</v>
      </c>
      <c r="G16" s="15" t="str">
        <f aca="false">IF(C16=0,"SIN CUBRIR",IF(E16&gt;0,"CON FALLAS",IF(D16&gt;0,"VERIFICADO (parcial)","PLANIFICADO")))</f>
        <v>VERIFICADO (parcial)</v>
      </c>
    </row>
    <row r="17" customFormat="false" ht="15" hidden="false" customHeight="false" outlineLevel="0" collapsed="false">
      <c r="A17" s="8" t="s">
        <v>714</v>
      </c>
      <c r="B17" s="10" t="s">
        <v>715</v>
      </c>
      <c r="C17" s="15" t="n">
        <f aca="false">SUMPRODUCT(--ISNUMBER(SEARCH("; "&amp;$A17&amp;";","; "&amp;'Plan de pruebas'!$M$7:$M$108&amp;";")))</f>
        <v>6</v>
      </c>
      <c r="D17" s="15" t="n">
        <f aca="false">SUMPRODUCT(--ISNUMBER(SEARCH("; "&amp;$A17&amp;";","; "&amp;'Plan de pruebas'!$M$7:$M$108&amp;";")),--('Plan de pruebas'!$I$7:$I$108="SI"))</f>
        <v>2</v>
      </c>
      <c r="E17" s="15" t="n">
        <f aca="false">SUMPRODUCT(--ISNUMBER(SEARCH("; "&amp;$A17&amp;";","; "&amp;'Plan de pruebas'!$M$7:$M$108&amp;";")),--('Plan de pruebas'!$I$7:$I$108="NO"))</f>
        <v>0</v>
      </c>
      <c r="F17" s="15" t="n">
        <f aca="false">SUMPRODUCT(--ISNUMBER(SEARCH("; "&amp;$A17&amp;";","; "&amp;'Plan de pruebas'!$M$7:$M$108&amp;";")),--('Plan de pruebas'!$I$7:$I$108="PENDIENTE"))</f>
        <v>4</v>
      </c>
      <c r="G17" s="15" t="str">
        <f aca="false">IF(C17=0,"SIN CUBRIR",IF(E17&gt;0,"CON FALLAS",IF(D17&gt;0,"VERIFICADO (parcial)","PLANIFICADO")))</f>
        <v>VERIFICADO (parcial)</v>
      </c>
    </row>
    <row r="18" customFormat="false" ht="15" hidden="false" customHeight="false" outlineLevel="0" collapsed="false">
      <c r="A18" s="8" t="s">
        <v>716</v>
      </c>
      <c r="B18" s="10" t="s">
        <v>717</v>
      </c>
      <c r="C18" s="15" t="n">
        <f aca="false">SUMPRODUCT(--ISNUMBER(SEARCH("; "&amp;$A18&amp;";","; "&amp;'Plan de pruebas'!$M$7:$M$108&amp;";")))</f>
        <v>7</v>
      </c>
      <c r="D18" s="15" t="n">
        <f aca="false">SUMPRODUCT(--ISNUMBER(SEARCH("; "&amp;$A18&amp;";","; "&amp;'Plan de pruebas'!$M$7:$M$108&amp;";")),--('Plan de pruebas'!$I$7:$I$108="SI"))</f>
        <v>3</v>
      </c>
      <c r="E18" s="15" t="n">
        <f aca="false">SUMPRODUCT(--ISNUMBER(SEARCH("; "&amp;$A18&amp;";","; "&amp;'Plan de pruebas'!$M$7:$M$108&amp;";")),--('Plan de pruebas'!$I$7:$I$108="NO"))</f>
        <v>0</v>
      </c>
      <c r="F18" s="15" t="n">
        <f aca="false">SUMPRODUCT(--ISNUMBER(SEARCH("; "&amp;$A18&amp;";","; "&amp;'Plan de pruebas'!$M$7:$M$108&amp;";")),--('Plan de pruebas'!$I$7:$I$108="PENDIENTE"))</f>
        <v>4</v>
      </c>
      <c r="G18" s="15" t="str">
        <f aca="false">IF(C18=0,"SIN CUBRIR",IF(E18&gt;0,"CON FALLAS",IF(D18&gt;0,"VERIFICADO (parcial)","PLANIFICADO")))</f>
        <v>VERIFICADO (parcial)</v>
      </c>
    </row>
    <row r="19" customFormat="false" ht="15" hidden="false" customHeight="false" outlineLevel="0" collapsed="false">
      <c r="A19" s="8" t="s">
        <v>718</v>
      </c>
      <c r="B19" s="10" t="s">
        <v>719</v>
      </c>
      <c r="C19" s="15" t="n">
        <f aca="false">SUMPRODUCT(--ISNUMBER(SEARCH("; "&amp;$A19&amp;";","; "&amp;'Plan de pruebas'!$M$7:$M$108&amp;";")))</f>
        <v>5</v>
      </c>
      <c r="D19" s="15" t="n">
        <f aca="false">SUMPRODUCT(--ISNUMBER(SEARCH("; "&amp;$A19&amp;";","; "&amp;'Plan de pruebas'!$M$7:$M$108&amp;";")),--('Plan de pruebas'!$I$7:$I$108="SI"))</f>
        <v>2</v>
      </c>
      <c r="E19" s="15" t="n">
        <f aca="false">SUMPRODUCT(--ISNUMBER(SEARCH("; "&amp;$A19&amp;";","; "&amp;'Plan de pruebas'!$M$7:$M$108&amp;";")),--('Plan de pruebas'!$I$7:$I$108="NO"))</f>
        <v>0</v>
      </c>
      <c r="F19" s="15" t="n">
        <f aca="false">SUMPRODUCT(--ISNUMBER(SEARCH("; "&amp;$A19&amp;";","; "&amp;'Plan de pruebas'!$M$7:$M$108&amp;";")),--('Plan de pruebas'!$I$7:$I$108="PENDIENTE"))</f>
        <v>3</v>
      </c>
      <c r="G19" s="15" t="str">
        <f aca="false">IF(C19=0,"SIN CUBRIR",IF(E19&gt;0,"CON FALLAS",IF(D19&gt;0,"VERIFICADO (parcial)","PLANIFICADO")))</f>
        <v>VERIFICADO (parcial)</v>
      </c>
    </row>
    <row r="20" customFormat="false" ht="15" hidden="false" customHeight="false" outlineLevel="0" collapsed="false">
      <c r="A20" s="8" t="s">
        <v>720</v>
      </c>
      <c r="B20" s="10" t="s">
        <v>721</v>
      </c>
      <c r="C20" s="15" t="n">
        <f aca="false">SUMPRODUCT(--ISNUMBER(SEARCH("; "&amp;$A20&amp;";","; "&amp;'Plan de pruebas'!$M$7:$M$108&amp;";")))</f>
        <v>2</v>
      </c>
      <c r="D20" s="15" t="n">
        <f aca="false">SUMPRODUCT(--ISNUMBER(SEARCH("; "&amp;$A20&amp;";","; "&amp;'Plan de pruebas'!$M$7:$M$108&amp;";")),--('Plan de pruebas'!$I$7:$I$108="SI"))</f>
        <v>1</v>
      </c>
      <c r="E20" s="15" t="n">
        <f aca="false">SUMPRODUCT(--ISNUMBER(SEARCH("; "&amp;$A20&amp;";","; "&amp;'Plan de pruebas'!$M$7:$M$108&amp;";")),--('Plan de pruebas'!$I$7:$I$108="NO"))</f>
        <v>0</v>
      </c>
      <c r="F20" s="15" t="n">
        <f aca="false">SUMPRODUCT(--ISNUMBER(SEARCH("; "&amp;$A20&amp;";","; "&amp;'Plan de pruebas'!$M$7:$M$108&amp;";")),--('Plan de pruebas'!$I$7:$I$108="PENDIENTE"))</f>
        <v>1</v>
      </c>
      <c r="G20" s="15" t="str">
        <f aca="false">IF(C20=0,"SIN CUBRIR",IF(E20&gt;0,"CON FALLAS",IF(D20&gt;0,"VERIFICADO (parcial)","PLANIFICADO")))</f>
        <v>VERIFICADO (parcial)</v>
      </c>
    </row>
    <row r="21" customFormat="false" ht="15" hidden="false" customHeight="false" outlineLevel="0" collapsed="false">
      <c r="A21" s="8" t="s">
        <v>722</v>
      </c>
      <c r="B21" s="10" t="s">
        <v>723</v>
      </c>
      <c r="C21" s="15" t="n">
        <f aca="false">SUMPRODUCT(--ISNUMBER(SEARCH("; "&amp;$A21&amp;";","; "&amp;'Plan de pruebas'!$M$7:$M$108&amp;";")))</f>
        <v>2</v>
      </c>
      <c r="D21" s="15" t="n">
        <f aca="false">SUMPRODUCT(--ISNUMBER(SEARCH("; "&amp;$A21&amp;";","; "&amp;'Plan de pruebas'!$M$7:$M$108&amp;";")),--('Plan de pruebas'!$I$7:$I$108="SI"))</f>
        <v>0</v>
      </c>
      <c r="E21" s="15" t="n">
        <f aca="false">SUMPRODUCT(--ISNUMBER(SEARCH("; "&amp;$A21&amp;";","; "&amp;'Plan de pruebas'!$M$7:$M$108&amp;";")),--('Plan de pruebas'!$I$7:$I$108="NO"))</f>
        <v>0</v>
      </c>
      <c r="F21" s="15" t="n">
        <f aca="false">SUMPRODUCT(--ISNUMBER(SEARCH("; "&amp;$A21&amp;";","; "&amp;'Plan de pruebas'!$M$7:$M$108&amp;";")),--('Plan de pruebas'!$I$7:$I$108="PENDIENTE"))</f>
        <v>2</v>
      </c>
      <c r="G21" s="15" t="str">
        <f aca="false">IF(C21=0,"SIN CUBRIR",IF(E21&gt;0,"CON FALLAS",IF(D21&gt;0,"VERIFICADO (parcial)","PLANIFICADO")))</f>
        <v>PLANIFICADO</v>
      </c>
    </row>
    <row r="22" customFormat="false" ht="15" hidden="false" customHeight="false" outlineLevel="0" collapsed="false">
      <c r="A22" s="8" t="s">
        <v>724</v>
      </c>
      <c r="B22" s="10" t="s">
        <v>725</v>
      </c>
      <c r="C22" s="15" t="n">
        <f aca="false">SUMPRODUCT(--ISNUMBER(SEARCH("; "&amp;$A22&amp;";","; "&amp;'Plan de pruebas'!$M$7:$M$108&amp;";")))</f>
        <v>7</v>
      </c>
      <c r="D22" s="15" t="n">
        <f aca="false">SUMPRODUCT(--ISNUMBER(SEARCH("; "&amp;$A22&amp;";","; "&amp;'Plan de pruebas'!$M$7:$M$108&amp;";")),--('Plan de pruebas'!$I$7:$I$108="SI"))</f>
        <v>3</v>
      </c>
      <c r="E22" s="15" t="n">
        <f aca="false">SUMPRODUCT(--ISNUMBER(SEARCH("; "&amp;$A22&amp;";","; "&amp;'Plan de pruebas'!$M$7:$M$108&amp;";")),--('Plan de pruebas'!$I$7:$I$108="NO"))</f>
        <v>0</v>
      </c>
      <c r="F22" s="15" t="n">
        <f aca="false">SUMPRODUCT(--ISNUMBER(SEARCH("; "&amp;$A22&amp;";","; "&amp;'Plan de pruebas'!$M$7:$M$108&amp;";")),--('Plan de pruebas'!$I$7:$I$108="PENDIENTE"))</f>
        <v>4</v>
      </c>
      <c r="G22" s="15" t="str">
        <f aca="false">IF(C22=0,"SIN CUBRIR",IF(E22&gt;0,"CON FALLAS",IF(D22&gt;0,"VERIFICADO (parcial)","PLANIFICADO")))</f>
        <v>VERIFICADO (parcial)</v>
      </c>
    </row>
    <row r="23" customFormat="false" ht="15" hidden="false" customHeight="false" outlineLevel="0" collapsed="false">
      <c r="A23" s="8" t="s">
        <v>726</v>
      </c>
      <c r="B23" s="10" t="s">
        <v>727</v>
      </c>
      <c r="C23" s="15" t="n">
        <f aca="false">SUMPRODUCT(--ISNUMBER(SEARCH("; "&amp;$A23&amp;";","; "&amp;'Plan de pruebas'!$M$7:$M$108&amp;";")))</f>
        <v>5</v>
      </c>
      <c r="D23" s="15" t="n">
        <f aca="false">SUMPRODUCT(--ISNUMBER(SEARCH("; "&amp;$A23&amp;";","; "&amp;'Plan de pruebas'!$M$7:$M$108&amp;";")),--('Plan de pruebas'!$I$7:$I$108="SI"))</f>
        <v>3</v>
      </c>
      <c r="E23" s="15" t="n">
        <f aca="false">SUMPRODUCT(--ISNUMBER(SEARCH("; "&amp;$A23&amp;";","; "&amp;'Plan de pruebas'!$M$7:$M$108&amp;";")),--('Plan de pruebas'!$I$7:$I$108="NO"))</f>
        <v>0</v>
      </c>
      <c r="F23" s="15" t="n">
        <f aca="false">SUMPRODUCT(--ISNUMBER(SEARCH("; "&amp;$A23&amp;";","; "&amp;'Plan de pruebas'!$M$7:$M$108&amp;";")),--('Plan de pruebas'!$I$7:$I$108="PENDIENTE"))</f>
        <v>2</v>
      </c>
      <c r="G23" s="15" t="str">
        <f aca="false">IF(C23=0,"SIN CUBRIR",IF(E23&gt;0,"CON FALLAS",IF(D23&gt;0,"VERIFICADO (parcial)","PLANIFICADO")))</f>
        <v>VERIFICADO (parcial)</v>
      </c>
    </row>
    <row r="24" customFormat="false" ht="15" hidden="false" customHeight="false" outlineLevel="0" collapsed="false">
      <c r="A24" s="8" t="s">
        <v>728</v>
      </c>
      <c r="B24" s="10" t="s">
        <v>426</v>
      </c>
      <c r="C24" s="15" t="n">
        <f aca="false">SUMPRODUCT(--ISNUMBER(SEARCH("; "&amp;$A24&amp;";","; "&amp;'Plan de pruebas'!$M$7:$M$108&amp;";")))</f>
        <v>4</v>
      </c>
      <c r="D24" s="15" t="n">
        <f aca="false">SUMPRODUCT(--ISNUMBER(SEARCH("; "&amp;$A24&amp;";","; "&amp;'Plan de pruebas'!$M$7:$M$108&amp;";")),--('Plan de pruebas'!$I$7:$I$108="SI"))</f>
        <v>1</v>
      </c>
      <c r="E24" s="15" t="n">
        <f aca="false">SUMPRODUCT(--ISNUMBER(SEARCH("; "&amp;$A24&amp;";","; "&amp;'Plan de pruebas'!$M$7:$M$108&amp;";")),--('Plan de pruebas'!$I$7:$I$108="NO"))</f>
        <v>0</v>
      </c>
      <c r="F24" s="15" t="n">
        <f aca="false">SUMPRODUCT(--ISNUMBER(SEARCH("; "&amp;$A24&amp;";","; "&amp;'Plan de pruebas'!$M$7:$M$108&amp;";")),--('Plan de pruebas'!$I$7:$I$108="PENDIENTE"))</f>
        <v>3</v>
      </c>
      <c r="G24" s="15" t="str">
        <f aca="false">IF(C24=0,"SIN CUBRIR",IF(E24&gt;0,"CON FALLAS",IF(D24&gt;0,"VERIFICADO (parcial)","PLANIFICADO")))</f>
        <v>VERIFICADO (parcial)</v>
      </c>
    </row>
    <row r="25" customFormat="false" ht="15" hidden="false" customHeight="false" outlineLevel="0" collapsed="false">
      <c r="A25" s="8" t="s">
        <v>729</v>
      </c>
      <c r="B25" s="10" t="s">
        <v>457</v>
      </c>
      <c r="C25" s="15" t="n">
        <f aca="false">SUMPRODUCT(--ISNUMBER(SEARCH("; "&amp;$A25&amp;";","; "&amp;'Plan de pruebas'!$M$7:$M$108&amp;";")))</f>
        <v>3</v>
      </c>
      <c r="D25" s="15" t="n">
        <f aca="false">SUMPRODUCT(--ISNUMBER(SEARCH("; "&amp;$A25&amp;";","; "&amp;'Plan de pruebas'!$M$7:$M$108&amp;";")),--('Plan de pruebas'!$I$7:$I$108="SI"))</f>
        <v>0</v>
      </c>
      <c r="E25" s="15" t="n">
        <f aca="false">SUMPRODUCT(--ISNUMBER(SEARCH("; "&amp;$A25&amp;";","; "&amp;'Plan de pruebas'!$M$7:$M$108&amp;";")),--('Plan de pruebas'!$I$7:$I$108="NO"))</f>
        <v>0</v>
      </c>
      <c r="F25" s="15" t="n">
        <f aca="false">SUMPRODUCT(--ISNUMBER(SEARCH("; "&amp;$A25&amp;";","; "&amp;'Plan de pruebas'!$M$7:$M$108&amp;";")),--('Plan de pruebas'!$I$7:$I$108="PENDIENTE"))</f>
        <v>3</v>
      </c>
      <c r="G25" s="15" t="str">
        <f aca="false">IF(C25=0,"SIN CUBRIR",IF(E25&gt;0,"CON FALLAS",IF(D25&gt;0,"VERIFICADO (parcial)","PLANIFICADO")))</f>
        <v>PLANIFICADO</v>
      </c>
    </row>
    <row r="26" customFormat="false" ht="15" hidden="false" customHeight="false" outlineLevel="0" collapsed="false">
      <c r="A26" s="8" t="s">
        <v>730</v>
      </c>
      <c r="B26" s="10" t="s">
        <v>731</v>
      </c>
      <c r="C26" s="15" t="n">
        <f aca="false">SUMPRODUCT(--ISNUMBER(SEARCH("; "&amp;$A26&amp;";","; "&amp;'Plan de pruebas'!$M$7:$M$108&amp;";")))</f>
        <v>4</v>
      </c>
      <c r="D26" s="15" t="n">
        <f aca="false">SUMPRODUCT(--ISNUMBER(SEARCH("; "&amp;$A26&amp;";","; "&amp;'Plan de pruebas'!$M$7:$M$108&amp;";")),--('Plan de pruebas'!$I$7:$I$108="SI"))</f>
        <v>2</v>
      </c>
      <c r="E26" s="15" t="n">
        <f aca="false">SUMPRODUCT(--ISNUMBER(SEARCH("; "&amp;$A26&amp;";","; "&amp;'Plan de pruebas'!$M$7:$M$108&amp;";")),--('Plan de pruebas'!$I$7:$I$108="NO"))</f>
        <v>0</v>
      </c>
      <c r="F26" s="15" t="n">
        <f aca="false">SUMPRODUCT(--ISNUMBER(SEARCH("; "&amp;$A26&amp;";","; "&amp;'Plan de pruebas'!$M$7:$M$108&amp;";")),--('Plan de pruebas'!$I$7:$I$108="PENDIENTE"))</f>
        <v>2</v>
      </c>
      <c r="G26" s="15" t="str">
        <f aca="false">IF(C26=0,"SIN CUBRIR",IF(E26&gt;0,"CON FALLAS",IF(D26&gt;0,"VERIFICADO (parcial)","PLANIFICADO")))</f>
        <v>VERIFICADO (parcial)</v>
      </c>
    </row>
    <row r="27" customFormat="false" ht="15" hidden="false" customHeight="false" outlineLevel="0" collapsed="false">
      <c r="A27" s="8" t="s">
        <v>732</v>
      </c>
      <c r="B27" s="10" t="s">
        <v>733</v>
      </c>
      <c r="C27" s="15" t="n">
        <f aca="false">SUMPRODUCT(--ISNUMBER(SEARCH("; "&amp;$A27&amp;";","; "&amp;'Plan de pruebas'!$M$7:$M$108&amp;";")))</f>
        <v>5</v>
      </c>
      <c r="D27" s="15" t="n">
        <f aca="false">SUMPRODUCT(--ISNUMBER(SEARCH("; "&amp;$A27&amp;";","; "&amp;'Plan de pruebas'!$M$7:$M$108&amp;";")),--('Plan de pruebas'!$I$7:$I$108="SI"))</f>
        <v>1</v>
      </c>
      <c r="E27" s="15" t="n">
        <f aca="false">SUMPRODUCT(--ISNUMBER(SEARCH("; "&amp;$A27&amp;";","; "&amp;'Plan de pruebas'!$M$7:$M$108&amp;";")),--('Plan de pruebas'!$I$7:$I$108="NO"))</f>
        <v>0</v>
      </c>
      <c r="F27" s="15" t="n">
        <f aca="false">SUMPRODUCT(--ISNUMBER(SEARCH("; "&amp;$A27&amp;";","; "&amp;'Plan de pruebas'!$M$7:$M$108&amp;";")),--('Plan de pruebas'!$I$7:$I$108="PENDIENTE"))</f>
        <v>4</v>
      </c>
      <c r="G27" s="15" t="str">
        <f aca="false">IF(C27=0,"SIN CUBRIR",IF(E27&gt;0,"CON FALLAS",IF(D27&gt;0,"VERIFICADO (parcial)","PLANIFICADO")))</f>
        <v>VERIFICADO (parcial)</v>
      </c>
    </row>
    <row r="28" customFormat="false" ht="15" hidden="false" customHeight="false" outlineLevel="0" collapsed="false">
      <c r="A28" s="8" t="s">
        <v>734</v>
      </c>
      <c r="B28" s="10" t="s">
        <v>735</v>
      </c>
      <c r="C28" s="15" t="n">
        <f aca="false">SUMPRODUCT(--ISNUMBER(SEARCH("; "&amp;$A28&amp;";","; "&amp;'Plan de pruebas'!$M$7:$M$108&amp;";")))</f>
        <v>1</v>
      </c>
      <c r="D28" s="15" t="n">
        <f aca="false">SUMPRODUCT(--ISNUMBER(SEARCH("; "&amp;$A28&amp;";","; "&amp;'Plan de pruebas'!$M$7:$M$108&amp;";")),--('Plan de pruebas'!$I$7:$I$108="SI"))</f>
        <v>0</v>
      </c>
      <c r="E28" s="15" t="n">
        <f aca="false">SUMPRODUCT(--ISNUMBER(SEARCH("; "&amp;$A28&amp;";","; "&amp;'Plan de pruebas'!$M$7:$M$108&amp;";")),--('Plan de pruebas'!$I$7:$I$108="NO"))</f>
        <v>0</v>
      </c>
      <c r="F28" s="15" t="n">
        <f aca="false">SUMPRODUCT(--ISNUMBER(SEARCH("; "&amp;$A28&amp;";","; "&amp;'Plan de pruebas'!$M$7:$M$108&amp;";")),--('Plan de pruebas'!$I$7:$I$108="PENDIENTE"))</f>
        <v>1</v>
      </c>
      <c r="G28" s="15" t="str">
        <f aca="false">IF(C28=0,"SIN CUBRIR",IF(E28&gt;0,"CON FALLAS",IF(D28&gt;0,"VERIFICADO (parcial)","PLANIFICADO")))</f>
        <v>PLANIFICADO</v>
      </c>
    </row>
    <row r="29" customFormat="false" ht="15" hidden="false" customHeight="false" outlineLevel="0" collapsed="false">
      <c r="A29" s="8" t="s">
        <v>736</v>
      </c>
      <c r="B29" s="10" t="s">
        <v>737</v>
      </c>
      <c r="C29" s="15" t="n">
        <f aca="false">SUMPRODUCT(--ISNUMBER(SEARCH("; "&amp;$A29&amp;";","; "&amp;'Plan de pruebas'!$M$7:$M$108&amp;";")))</f>
        <v>7</v>
      </c>
      <c r="D29" s="15" t="n">
        <f aca="false">SUMPRODUCT(--ISNUMBER(SEARCH("; "&amp;$A29&amp;";","; "&amp;'Plan de pruebas'!$M$7:$M$108&amp;";")),--('Plan de pruebas'!$I$7:$I$108="SI"))</f>
        <v>3</v>
      </c>
      <c r="E29" s="15" t="n">
        <f aca="false">SUMPRODUCT(--ISNUMBER(SEARCH("; "&amp;$A29&amp;";","; "&amp;'Plan de pruebas'!$M$7:$M$108&amp;";")),--('Plan de pruebas'!$I$7:$I$108="NO"))</f>
        <v>0</v>
      </c>
      <c r="F29" s="15" t="n">
        <f aca="false">SUMPRODUCT(--ISNUMBER(SEARCH("; "&amp;$A29&amp;";","; "&amp;'Plan de pruebas'!$M$7:$M$108&amp;";")),--('Plan de pruebas'!$I$7:$I$108="PENDIENTE"))</f>
        <v>4</v>
      </c>
      <c r="G29" s="15" t="str">
        <f aca="false">IF(C29=0,"SIN CUBRIR",IF(E29&gt;0,"CON FALLAS",IF(D29&gt;0,"VERIFICADO (parcial)","PLANIFICADO")))</f>
        <v>VERIFICADO (parcial)</v>
      </c>
    </row>
    <row r="30" customFormat="false" ht="15" hidden="false" customHeight="false" outlineLevel="0" collapsed="false">
      <c r="A30" s="8" t="s">
        <v>593</v>
      </c>
      <c r="B30" s="10" t="s">
        <v>550</v>
      </c>
      <c r="C30" s="15" t="n">
        <f aca="false">SUMPRODUCT(--ISNUMBER(SEARCH("; "&amp;$A30&amp;";","; "&amp;'Plan de pruebas'!$M$7:$M$108&amp;";")))</f>
        <v>9</v>
      </c>
      <c r="D30" s="15" t="n">
        <f aca="false">SUMPRODUCT(--ISNUMBER(SEARCH("; "&amp;$A30&amp;";","; "&amp;'Plan de pruebas'!$M$7:$M$108&amp;";")),--('Plan de pruebas'!$I$7:$I$108="SI"))</f>
        <v>3</v>
      </c>
      <c r="E30" s="15" t="n">
        <f aca="false">SUMPRODUCT(--ISNUMBER(SEARCH("; "&amp;$A30&amp;";","; "&amp;'Plan de pruebas'!$M$7:$M$108&amp;";")),--('Plan de pruebas'!$I$7:$I$108="NO"))</f>
        <v>0</v>
      </c>
      <c r="F30" s="15" t="n">
        <f aca="false">SUMPRODUCT(--ISNUMBER(SEARCH("; "&amp;$A30&amp;";","; "&amp;'Plan de pruebas'!$M$7:$M$108&amp;";")),--('Plan de pruebas'!$I$7:$I$108="PENDIENTE"))</f>
        <v>6</v>
      </c>
      <c r="G30" s="15" t="str">
        <f aca="false">IF(C30=0,"SIN CUBRIR",IF(E30&gt;0,"CON FALLAS",IF(D30&gt;0,"VERIFICADO (parcial)","PLANIFICADO")))</f>
        <v>VERIFICADO (parcial)</v>
      </c>
    </row>
    <row r="31" customFormat="false" ht="15" hidden="false" customHeight="false" outlineLevel="0" collapsed="false">
      <c r="A31" s="8" t="s">
        <v>738</v>
      </c>
      <c r="B31" s="10" t="s">
        <v>739</v>
      </c>
      <c r="C31" s="15" t="n">
        <f aca="false">SUMPRODUCT(--ISNUMBER(SEARCH("; "&amp;$A31&amp;";","; "&amp;'Plan de pruebas'!$M$7:$M$108&amp;";")))</f>
        <v>4</v>
      </c>
      <c r="D31" s="15" t="n">
        <f aca="false">SUMPRODUCT(--ISNUMBER(SEARCH("; "&amp;$A31&amp;";","; "&amp;'Plan de pruebas'!$M$7:$M$108&amp;";")),--('Plan de pruebas'!$I$7:$I$108="SI"))</f>
        <v>1</v>
      </c>
      <c r="E31" s="15" t="n">
        <f aca="false">SUMPRODUCT(--ISNUMBER(SEARCH("; "&amp;$A31&amp;";","; "&amp;'Plan de pruebas'!$M$7:$M$108&amp;";")),--('Plan de pruebas'!$I$7:$I$108="NO"))</f>
        <v>0</v>
      </c>
      <c r="F31" s="15" t="n">
        <f aca="false">SUMPRODUCT(--ISNUMBER(SEARCH("; "&amp;$A31&amp;";","; "&amp;'Plan de pruebas'!$M$7:$M$108&amp;";")),--('Plan de pruebas'!$I$7:$I$108="PENDIENTE"))</f>
        <v>3</v>
      </c>
      <c r="G31" s="15" t="str">
        <f aca="false">IF(C31=0,"SIN CUBRIR",IF(E31&gt;0,"CON FALLAS",IF(D31&gt;0,"VERIFICADO (parcial)","PLANIFICADO")))</f>
        <v>VERIFICADO (parcial)</v>
      </c>
    </row>
    <row r="32" customFormat="false" ht="15" hidden="false" customHeight="false" outlineLevel="0" collapsed="false">
      <c r="A32" s="8" t="s">
        <v>489</v>
      </c>
      <c r="B32" s="10" t="s">
        <v>740</v>
      </c>
      <c r="C32" s="15" t="n">
        <f aca="false">SUMPRODUCT(--ISNUMBER(SEARCH("; "&amp;$A32&amp;";","; "&amp;'Plan de pruebas'!$M$7:$M$108&amp;";")))</f>
        <v>4</v>
      </c>
      <c r="D32" s="15" t="n">
        <f aca="false">SUMPRODUCT(--ISNUMBER(SEARCH("; "&amp;$A32&amp;";","; "&amp;'Plan de pruebas'!$M$7:$M$108&amp;";")),--('Plan de pruebas'!$I$7:$I$108="SI"))</f>
        <v>3</v>
      </c>
      <c r="E32" s="15" t="n">
        <f aca="false">SUMPRODUCT(--ISNUMBER(SEARCH("; "&amp;$A32&amp;";","; "&amp;'Plan de pruebas'!$M$7:$M$108&amp;";")),--('Plan de pruebas'!$I$7:$I$108="NO"))</f>
        <v>0</v>
      </c>
      <c r="F32" s="15" t="n">
        <f aca="false">SUMPRODUCT(--ISNUMBER(SEARCH("; "&amp;$A32&amp;";","; "&amp;'Plan de pruebas'!$M$7:$M$108&amp;";")),--('Plan de pruebas'!$I$7:$I$108="PENDIENTE"))</f>
        <v>1</v>
      </c>
      <c r="G32" s="15" t="str">
        <f aca="false">IF(C32=0,"SIN CUBRIR",IF(E32&gt;0,"CON FALLAS",IF(D32&gt;0,"VERIFICADO (parcial)","PLANIFICADO")))</f>
        <v>VERIFICADO (parcial)</v>
      </c>
    </row>
    <row r="33" customFormat="false" ht="15" hidden="false" customHeight="false" outlineLevel="0" collapsed="false">
      <c r="A33" s="8" t="s">
        <v>580</v>
      </c>
      <c r="B33" s="10" t="s">
        <v>741</v>
      </c>
      <c r="C33" s="15" t="n">
        <f aca="false">SUMPRODUCT(--ISNUMBER(SEARCH("; "&amp;$A33&amp;";","; "&amp;'Plan de pruebas'!$M$7:$M$108&amp;";")))</f>
        <v>5</v>
      </c>
      <c r="D33" s="15" t="n">
        <f aca="false">SUMPRODUCT(--ISNUMBER(SEARCH("; "&amp;$A33&amp;";","; "&amp;'Plan de pruebas'!$M$7:$M$108&amp;";")),--('Plan de pruebas'!$I$7:$I$108="SI"))</f>
        <v>1</v>
      </c>
      <c r="E33" s="15" t="n">
        <f aca="false">SUMPRODUCT(--ISNUMBER(SEARCH("; "&amp;$A33&amp;";","; "&amp;'Plan de pruebas'!$M$7:$M$108&amp;";")),--('Plan de pruebas'!$I$7:$I$108="NO"))</f>
        <v>0</v>
      </c>
      <c r="F33" s="15" t="n">
        <f aca="false">SUMPRODUCT(--ISNUMBER(SEARCH("; "&amp;$A33&amp;";","; "&amp;'Plan de pruebas'!$M$7:$M$108&amp;";")),--('Plan de pruebas'!$I$7:$I$108="PENDIENTE"))</f>
        <v>4</v>
      </c>
      <c r="G33" s="15" t="str">
        <f aca="false">IF(C33=0,"SIN CUBRIR",IF(E33&gt;0,"CON FALLAS",IF(D33&gt;0,"VERIFICADO (parcial)","PLANIFICADO")))</f>
        <v>VERIFICADO (parcial)</v>
      </c>
    </row>
    <row r="34" customFormat="false" ht="15" hidden="false" customHeight="false" outlineLevel="0" collapsed="false">
      <c r="A34" s="8" t="s">
        <v>742</v>
      </c>
      <c r="B34" s="10" t="s">
        <v>743</v>
      </c>
      <c r="C34" s="15" t="n">
        <f aca="false">SUMPRODUCT(--ISNUMBER(SEARCH("; "&amp;$A34&amp;";","; "&amp;'Plan de pruebas'!$M$7:$M$108&amp;";")))</f>
        <v>2</v>
      </c>
      <c r="D34" s="15" t="n">
        <f aca="false">SUMPRODUCT(--ISNUMBER(SEARCH("; "&amp;$A34&amp;";","; "&amp;'Plan de pruebas'!$M$7:$M$108&amp;";")),--('Plan de pruebas'!$I$7:$I$108="SI"))</f>
        <v>1</v>
      </c>
      <c r="E34" s="15" t="n">
        <f aca="false">SUMPRODUCT(--ISNUMBER(SEARCH("; "&amp;$A34&amp;";","; "&amp;'Plan de pruebas'!$M$7:$M$108&amp;";")),--('Plan de pruebas'!$I$7:$I$108="NO"))</f>
        <v>0</v>
      </c>
      <c r="F34" s="15" t="n">
        <f aca="false">SUMPRODUCT(--ISNUMBER(SEARCH("; "&amp;$A34&amp;";","; "&amp;'Plan de pruebas'!$M$7:$M$108&amp;";")),--('Plan de pruebas'!$I$7:$I$108="PENDIENTE"))</f>
        <v>1</v>
      </c>
      <c r="G34" s="15" t="str">
        <f aca="false">IF(C34=0,"SIN CUBRIR",IF(E34&gt;0,"CON FALLAS",IF(D34&gt;0,"VERIFICADO (parcial)","PLANIFICADO")))</f>
        <v>VERIFICADO (parcial)</v>
      </c>
    </row>
    <row r="35" customFormat="false" ht="15" hidden="false" customHeight="false" outlineLevel="0" collapsed="false">
      <c r="A35" s="8" t="s">
        <v>744</v>
      </c>
      <c r="B35" s="10" t="s">
        <v>745</v>
      </c>
      <c r="C35" s="15" t="n">
        <f aca="false">SUMPRODUCT(--ISNUMBER(SEARCH("; "&amp;$A35&amp;";","; "&amp;'Plan de pruebas'!$M$7:$M$108&amp;";")))</f>
        <v>3</v>
      </c>
      <c r="D35" s="15" t="n">
        <f aca="false">SUMPRODUCT(--ISNUMBER(SEARCH("; "&amp;$A35&amp;";","; "&amp;'Plan de pruebas'!$M$7:$M$108&amp;";")),--('Plan de pruebas'!$I$7:$I$108="SI"))</f>
        <v>0</v>
      </c>
      <c r="E35" s="15" t="n">
        <f aca="false">SUMPRODUCT(--ISNUMBER(SEARCH("; "&amp;$A35&amp;";","; "&amp;'Plan de pruebas'!$M$7:$M$108&amp;";")),--('Plan de pruebas'!$I$7:$I$108="NO"))</f>
        <v>0</v>
      </c>
      <c r="F35" s="15" t="n">
        <f aca="false">SUMPRODUCT(--ISNUMBER(SEARCH("; "&amp;$A35&amp;";","; "&amp;'Plan de pruebas'!$M$7:$M$108&amp;";")),--('Plan de pruebas'!$I$7:$I$108="PENDIENTE"))</f>
        <v>3</v>
      </c>
      <c r="G35" s="15" t="str">
        <f aca="false">IF(C35=0,"SIN CUBRIR",IF(E35&gt;0,"CON FALLAS",IF(D35&gt;0,"VERIFICADO (parcial)","PLANIFICADO")))</f>
        <v>PLANIFICADO</v>
      </c>
    </row>
    <row r="36" customFormat="false" ht="15" hidden="false" customHeight="false" outlineLevel="0" collapsed="false">
      <c r="A36" s="8" t="s">
        <v>746</v>
      </c>
      <c r="B36" s="10" t="s">
        <v>747</v>
      </c>
      <c r="C36" s="15" t="n">
        <f aca="false">SUMPRODUCT(--ISNUMBER(SEARCH("; "&amp;$A36&amp;";","; "&amp;'Plan de pruebas'!$M$7:$M$108&amp;";")))</f>
        <v>2</v>
      </c>
      <c r="D36" s="15" t="n">
        <f aca="false">SUMPRODUCT(--ISNUMBER(SEARCH("; "&amp;$A36&amp;";","; "&amp;'Plan de pruebas'!$M$7:$M$108&amp;";")),--('Plan de pruebas'!$I$7:$I$108="SI"))</f>
        <v>0</v>
      </c>
      <c r="E36" s="15" t="n">
        <f aca="false">SUMPRODUCT(--ISNUMBER(SEARCH("; "&amp;$A36&amp;";","; "&amp;'Plan de pruebas'!$M$7:$M$108&amp;";")),--('Plan de pruebas'!$I$7:$I$108="NO"))</f>
        <v>0</v>
      </c>
      <c r="F36" s="15" t="n">
        <f aca="false">SUMPRODUCT(--ISNUMBER(SEARCH("; "&amp;$A36&amp;";","; "&amp;'Plan de pruebas'!$M$7:$M$108&amp;";")),--('Plan de pruebas'!$I$7:$I$108="PENDIENTE"))</f>
        <v>2</v>
      </c>
      <c r="G36" s="15" t="str">
        <f aca="false">IF(C36=0,"SIN CUBRIR",IF(E36&gt;0,"CON FALLAS",IF(D36&gt;0,"VERIFICADO (parcial)","PLANIFICADO")))</f>
        <v>PLANIFICADO</v>
      </c>
    </row>
    <row r="37" customFormat="false" ht="15" hidden="false" customHeight="false" outlineLevel="0" collapsed="false">
      <c r="A37" s="8" t="s">
        <v>748</v>
      </c>
      <c r="B37" s="10" t="s">
        <v>749</v>
      </c>
      <c r="C37" s="15" t="n">
        <f aca="false">SUMPRODUCT(--ISNUMBER(SEARCH("; "&amp;$A37&amp;";","; "&amp;'Plan de pruebas'!$M$7:$M$108&amp;";")))</f>
        <v>5</v>
      </c>
      <c r="D37" s="15" t="n">
        <f aca="false">SUMPRODUCT(--ISNUMBER(SEARCH("; "&amp;$A37&amp;";","; "&amp;'Plan de pruebas'!$M$7:$M$108&amp;";")),--('Plan de pruebas'!$I$7:$I$108="SI"))</f>
        <v>1</v>
      </c>
      <c r="E37" s="15" t="n">
        <f aca="false">SUMPRODUCT(--ISNUMBER(SEARCH("; "&amp;$A37&amp;";","; "&amp;'Plan de pruebas'!$M$7:$M$108&amp;";")),--('Plan de pruebas'!$I$7:$I$108="NO"))</f>
        <v>0</v>
      </c>
      <c r="F37" s="15" t="n">
        <f aca="false">SUMPRODUCT(--ISNUMBER(SEARCH("; "&amp;$A37&amp;";","; "&amp;'Plan de pruebas'!$M$7:$M$108&amp;";")),--('Plan de pruebas'!$I$7:$I$108="PENDIENTE"))</f>
        <v>4</v>
      </c>
      <c r="G37" s="15" t="str">
        <f aca="false">IF(C37=0,"SIN CUBRIR",IF(E37&gt;0,"CON FALLAS",IF(D37&gt;0,"VERIFICADO (parcial)","PLANIFICADO")))</f>
        <v>VERIFICADO (parcial)</v>
      </c>
    </row>
    <row r="38" customFormat="false" ht="15" hidden="false" customHeight="false" outlineLevel="0" collapsed="false">
      <c r="A38" s="8" t="s">
        <v>573</v>
      </c>
      <c r="B38" s="10" t="s">
        <v>750</v>
      </c>
      <c r="C38" s="15" t="n">
        <f aca="false">SUMPRODUCT(--ISNUMBER(SEARCH("; "&amp;$A38&amp;";","; "&amp;'Plan de pruebas'!$M$7:$M$108&amp;";")))</f>
        <v>2</v>
      </c>
      <c r="D38" s="15" t="n">
        <f aca="false">SUMPRODUCT(--ISNUMBER(SEARCH("; "&amp;$A38&amp;";","; "&amp;'Plan de pruebas'!$M$7:$M$108&amp;";")),--('Plan de pruebas'!$I$7:$I$108="SI"))</f>
        <v>1</v>
      </c>
      <c r="E38" s="15" t="n">
        <f aca="false">SUMPRODUCT(--ISNUMBER(SEARCH("; "&amp;$A38&amp;";","; "&amp;'Plan de pruebas'!$M$7:$M$108&amp;";")),--('Plan de pruebas'!$I$7:$I$108="NO"))</f>
        <v>0</v>
      </c>
      <c r="F38" s="15" t="n">
        <f aca="false">SUMPRODUCT(--ISNUMBER(SEARCH("; "&amp;$A38&amp;";","; "&amp;'Plan de pruebas'!$M$7:$M$108&amp;";")),--('Plan de pruebas'!$I$7:$I$108="PENDIENTE"))</f>
        <v>1</v>
      </c>
      <c r="G38" s="15" t="str">
        <f aca="false">IF(C38=0,"SIN CUBRIR",IF(E38&gt;0,"CON FALLAS",IF(D38&gt;0,"VERIFICADO (parcial)","PLANIFICADO")))</f>
        <v>VERIFICADO (parcial)</v>
      </c>
    </row>
    <row r="39" customFormat="false" ht="15" hidden="false" customHeight="false" outlineLevel="0" collapsed="false">
      <c r="A39" s="8" t="s">
        <v>751</v>
      </c>
      <c r="B39" s="10" t="s">
        <v>752</v>
      </c>
      <c r="C39" s="15" t="n">
        <f aca="false">SUMPRODUCT(--ISNUMBER(SEARCH("; "&amp;$A39&amp;";","; "&amp;'Plan de pruebas'!$M$7:$M$108&amp;";")))</f>
        <v>5</v>
      </c>
      <c r="D39" s="15" t="n">
        <f aca="false">SUMPRODUCT(--ISNUMBER(SEARCH("; "&amp;$A39&amp;";","; "&amp;'Plan de pruebas'!$M$7:$M$108&amp;";")),--('Plan de pruebas'!$I$7:$I$108="SI"))</f>
        <v>3</v>
      </c>
      <c r="E39" s="15" t="n">
        <f aca="false">SUMPRODUCT(--ISNUMBER(SEARCH("; "&amp;$A39&amp;";","; "&amp;'Plan de pruebas'!$M$7:$M$108&amp;";")),--('Plan de pruebas'!$I$7:$I$108="NO"))</f>
        <v>0</v>
      </c>
      <c r="F39" s="15" t="n">
        <f aca="false">SUMPRODUCT(--ISNUMBER(SEARCH("; "&amp;$A39&amp;";","; "&amp;'Plan de pruebas'!$M$7:$M$108&amp;";")),--('Plan de pruebas'!$I$7:$I$108="PENDIENTE"))</f>
        <v>2</v>
      </c>
      <c r="G39" s="15" t="str">
        <f aca="false">IF(C39=0,"SIN CUBRIR",IF(E39&gt;0,"CON FALLAS",IF(D39&gt;0,"VERIFICADO (parcial)","PLANIFICADO")))</f>
        <v>VERIFICADO (parcial)</v>
      </c>
    </row>
    <row r="40" customFormat="false" ht="15" hidden="false" customHeight="false" outlineLevel="0" collapsed="false">
      <c r="A40" s="8" t="s">
        <v>753</v>
      </c>
      <c r="B40" s="10" t="s">
        <v>754</v>
      </c>
      <c r="C40" s="15" t="n">
        <f aca="false">SUMPRODUCT(--ISNUMBER(SEARCH("; "&amp;$A40&amp;";","; "&amp;'Plan de pruebas'!$M$7:$M$108&amp;";")))</f>
        <v>3</v>
      </c>
      <c r="D40" s="15" t="n">
        <f aca="false">SUMPRODUCT(--ISNUMBER(SEARCH("; "&amp;$A40&amp;";","; "&amp;'Plan de pruebas'!$M$7:$M$108&amp;";")),--('Plan de pruebas'!$I$7:$I$108="SI"))</f>
        <v>1</v>
      </c>
      <c r="E40" s="15" t="n">
        <f aca="false">SUMPRODUCT(--ISNUMBER(SEARCH("; "&amp;$A40&amp;";","; "&amp;'Plan de pruebas'!$M$7:$M$108&amp;";")),--('Plan de pruebas'!$I$7:$I$108="NO"))</f>
        <v>0</v>
      </c>
      <c r="F40" s="15" t="n">
        <f aca="false">SUMPRODUCT(--ISNUMBER(SEARCH("; "&amp;$A40&amp;";","; "&amp;'Plan de pruebas'!$M$7:$M$108&amp;";")),--('Plan de pruebas'!$I$7:$I$108="PENDIENTE"))</f>
        <v>2</v>
      </c>
      <c r="G40" s="15" t="str">
        <f aca="false">IF(C40=0,"SIN CUBRIR",IF(E40&gt;0,"CON FALLAS",IF(D40&gt;0,"VERIFICADO (parcial)","PLANIFICADO")))</f>
        <v>VERIFICADO (parcial)</v>
      </c>
    </row>
    <row r="41" customFormat="false" ht="15" hidden="false" customHeight="false" outlineLevel="0" collapsed="false">
      <c r="A41" s="8" t="s">
        <v>755</v>
      </c>
      <c r="B41" s="10" t="s">
        <v>756</v>
      </c>
      <c r="C41" s="15" t="n">
        <f aca="false">SUMPRODUCT(--ISNUMBER(SEARCH("; "&amp;$A41&amp;";","; "&amp;'Plan de pruebas'!$M$7:$M$108&amp;";")))</f>
        <v>2</v>
      </c>
      <c r="D41" s="15" t="n">
        <f aca="false">SUMPRODUCT(--ISNUMBER(SEARCH("; "&amp;$A41&amp;";","; "&amp;'Plan de pruebas'!$M$7:$M$108&amp;";")),--('Plan de pruebas'!$I$7:$I$108="SI"))</f>
        <v>1</v>
      </c>
      <c r="E41" s="15" t="n">
        <f aca="false">SUMPRODUCT(--ISNUMBER(SEARCH("; "&amp;$A41&amp;";","; "&amp;'Plan de pruebas'!$M$7:$M$108&amp;";")),--('Plan de pruebas'!$I$7:$I$108="NO"))</f>
        <v>0</v>
      </c>
      <c r="F41" s="15" t="n">
        <f aca="false">SUMPRODUCT(--ISNUMBER(SEARCH("; "&amp;$A41&amp;";","; "&amp;'Plan de pruebas'!$M$7:$M$108&amp;";")),--('Plan de pruebas'!$I$7:$I$108="PENDIENTE"))</f>
        <v>1</v>
      </c>
      <c r="G41" s="15" t="str">
        <f aca="false">IF(C41=0,"SIN CUBRIR",IF(E41&gt;0,"CON FALLAS",IF(D41&gt;0,"VERIFICADO (parcial)","PLANIFICADO")))</f>
        <v>VERIFICADO (parcial)</v>
      </c>
    </row>
    <row r="42" customFormat="false" ht="15" hidden="false" customHeight="false" outlineLevel="0" collapsed="false">
      <c r="A42" s="8" t="s">
        <v>757</v>
      </c>
      <c r="B42" s="10" t="s">
        <v>758</v>
      </c>
      <c r="C42" s="15" t="n">
        <f aca="false">SUMPRODUCT(--ISNUMBER(SEARCH("; "&amp;$A42&amp;";","; "&amp;'Plan de pruebas'!$M$7:$M$108&amp;";")))</f>
        <v>3</v>
      </c>
      <c r="D42" s="15" t="n">
        <f aca="false">SUMPRODUCT(--ISNUMBER(SEARCH("; "&amp;$A42&amp;";","; "&amp;'Plan de pruebas'!$M$7:$M$108&amp;";")),--('Plan de pruebas'!$I$7:$I$108="SI"))</f>
        <v>1</v>
      </c>
      <c r="E42" s="15" t="n">
        <f aca="false">SUMPRODUCT(--ISNUMBER(SEARCH("; "&amp;$A42&amp;";","; "&amp;'Plan de pruebas'!$M$7:$M$108&amp;";")),--('Plan de pruebas'!$I$7:$I$108="NO"))</f>
        <v>0</v>
      </c>
      <c r="F42" s="15" t="n">
        <f aca="false">SUMPRODUCT(--ISNUMBER(SEARCH("; "&amp;$A42&amp;";","; "&amp;'Plan de pruebas'!$M$7:$M$108&amp;";")),--('Plan de pruebas'!$I$7:$I$108="PENDIENTE"))</f>
        <v>2</v>
      </c>
      <c r="G42" s="15" t="str">
        <f aca="false">IF(C42=0,"SIN CUBRIR",IF(E42&gt;0,"CON FALLAS",IF(D42&gt;0,"VERIFICADO (parcial)","PLANIFICADO")))</f>
        <v>VERIFICADO (parcial)</v>
      </c>
    </row>
    <row r="43" customFormat="false" ht="15" hidden="false" customHeight="false" outlineLevel="0" collapsed="false">
      <c r="A43" s="8" t="s">
        <v>759</v>
      </c>
      <c r="B43" s="10" t="s">
        <v>760</v>
      </c>
      <c r="C43" s="15" t="n">
        <f aca="false">SUMPRODUCT(--ISNUMBER(SEARCH("; "&amp;$A43&amp;";","; "&amp;'Plan de pruebas'!$M$7:$M$108&amp;";")))</f>
        <v>2</v>
      </c>
      <c r="D43" s="15" t="n">
        <f aca="false">SUMPRODUCT(--ISNUMBER(SEARCH("; "&amp;$A43&amp;";","; "&amp;'Plan de pruebas'!$M$7:$M$108&amp;";")),--('Plan de pruebas'!$I$7:$I$108="SI"))</f>
        <v>1</v>
      </c>
      <c r="E43" s="15" t="n">
        <f aca="false">SUMPRODUCT(--ISNUMBER(SEARCH("; "&amp;$A43&amp;";","; "&amp;'Plan de pruebas'!$M$7:$M$108&amp;";")),--('Plan de pruebas'!$I$7:$I$108="NO"))</f>
        <v>0</v>
      </c>
      <c r="F43" s="15" t="n">
        <f aca="false">SUMPRODUCT(--ISNUMBER(SEARCH("; "&amp;$A43&amp;";","; "&amp;'Plan de pruebas'!$M$7:$M$108&amp;";")),--('Plan de pruebas'!$I$7:$I$108="PENDIENTE"))</f>
        <v>1</v>
      </c>
      <c r="G43" s="15" t="str">
        <f aca="false">IF(C43=0,"SIN CUBRIR",IF(E43&gt;0,"CON FALLAS",IF(D43&gt;0,"VERIFICADO (parcial)","PLANIFICADO")))</f>
        <v>VERIFICADO (parcial)</v>
      </c>
    </row>
    <row r="44" customFormat="false" ht="15" hidden="false" customHeight="false" outlineLevel="0" collapsed="false">
      <c r="A44" s="8" t="s">
        <v>761</v>
      </c>
      <c r="B44" s="10" t="s">
        <v>762</v>
      </c>
      <c r="C44" s="15" t="n">
        <f aca="false">SUMPRODUCT(--ISNUMBER(SEARCH("; "&amp;$A44&amp;";","; "&amp;'Plan de pruebas'!$M$7:$M$108&amp;";")))</f>
        <v>2</v>
      </c>
      <c r="D44" s="15" t="n">
        <f aca="false">SUMPRODUCT(--ISNUMBER(SEARCH("; "&amp;$A44&amp;";","; "&amp;'Plan de pruebas'!$M$7:$M$108&amp;";")),--('Plan de pruebas'!$I$7:$I$108="SI"))</f>
        <v>0</v>
      </c>
      <c r="E44" s="15" t="n">
        <f aca="false">SUMPRODUCT(--ISNUMBER(SEARCH("; "&amp;$A44&amp;";","; "&amp;'Plan de pruebas'!$M$7:$M$108&amp;";")),--('Plan de pruebas'!$I$7:$I$108="NO"))</f>
        <v>0</v>
      </c>
      <c r="F44" s="15" t="n">
        <f aca="false">SUMPRODUCT(--ISNUMBER(SEARCH("; "&amp;$A44&amp;";","; "&amp;'Plan de pruebas'!$M$7:$M$108&amp;";")),--('Plan de pruebas'!$I$7:$I$108="PENDIENTE"))</f>
        <v>2</v>
      </c>
      <c r="G44" s="15" t="str">
        <f aca="false">IF(C44=0,"SIN CUBRIR",IF(E44&gt;0,"CON FALLAS",IF(D44&gt;0,"VERIFICADO (parcial)","PLANIFICADO")))</f>
        <v>PLANIFICADO</v>
      </c>
    </row>
    <row r="45" customFormat="false" ht="15" hidden="false" customHeight="false" outlineLevel="0" collapsed="false">
      <c r="A45" s="8" t="s">
        <v>763</v>
      </c>
      <c r="B45" s="10" t="s">
        <v>764</v>
      </c>
      <c r="C45" s="15" t="n">
        <f aca="false">SUMPRODUCT(--ISNUMBER(SEARCH("; "&amp;$A45&amp;";","; "&amp;'Plan de pruebas'!$M$7:$M$108&amp;";")))</f>
        <v>3</v>
      </c>
      <c r="D45" s="15" t="n">
        <f aca="false">SUMPRODUCT(--ISNUMBER(SEARCH("; "&amp;$A45&amp;";","; "&amp;'Plan de pruebas'!$M$7:$M$108&amp;";")),--('Plan de pruebas'!$I$7:$I$108="SI"))</f>
        <v>1</v>
      </c>
      <c r="E45" s="15" t="n">
        <f aca="false">SUMPRODUCT(--ISNUMBER(SEARCH("; "&amp;$A45&amp;";","; "&amp;'Plan de pruebas'!$M$7:$M$108&amp;";")),--('Plan de pruebas'!$I$7:$I$108="NO"))</f>
        <v>0</v>
      </c>
      <c r="F45" s="15" t="n">
        <f aca="false">SUMPRODUCT(--ISNUMBER(SEARCH("; "&amp;$A45&amp;";","; "&amp;'Plan de pruebas'!$M$7:$M$108&amp;";")),--('Plan de pruebas'!$I$7:$I$108="PENDIENTE"))</f>
        <v>2</v>
      </c>
      <c r="G45" s="15" t="str">
        <f aca="false">IF(C45=0,"SIN CUBRIR",IF(E45&gt;0,"CON FALLAS",IF(D45&gt;0,"VERIFICADO (parcial)","PLANIFICADO")))</f>
        <v>VERIFICADO (parcial)</v>
      </c>
    </row>
    <row r="46" customFormat="false" ht="15" hidden="false" customHeight="false" outlineLevel="0" collapsed="false">
      <c r="A46" s="8" t="s">
        <v>765</v>
      </c>
      <c r="B46" s="10" t="s">
        <v>766</v>
      </c>
      <c r="C46" s="15" t="n">
        <f aca="false">SUMPRODUCT(--ISNUMBER(SEARCH("; "&amp;$A46&amp;";","; "&amp;'Plan de pruebas'!$M$7:$M$108&amp;";")))</f>
        <v>6</v>
      </c>
      <c r="D46" s="15" t="n">
        <f aca="false">SUMPRODUCT(--ISNUMBER(SEARCH("; "&amp;$A46&amp;";","; "&amp;'Plan de pruebas'!$M$7:$M$108&amp;";")),--('Plan de pruebas'!$I$7:$I$108="SI"))</f>
        <v>3</v>
      </c>
      <c r="E46" s="15" t="n">
        <f aca="false">SUMPRODUCT(--ISNUMBER(SEARCH("; "&amp;$A46&amp;";","; "&amp;'Plan de pruebas'!$M$7:$M$108&amp;";")),--('Plan de pruebas'!$I$7:$I$108="NO"))</f>
        <v>0</v>
      </c>
      <c r="F46" s="15" t="n">
        <f aca="false">SUMPRODUCT(--ISNUMBER(SEARCH("; "&amp;$A46&amp;";","; "&amp;'Plan de pruebas'!$M$7:$M$108&amp;";")),--('Plan de pruebas'!$I$7:$I$108="PENDIENTE"))</f>
        <v>3</v>
      </c>
      <c r="G46" s="15" t="str">
        <f aca="false">IF(C46=0,"SIN CUBRIR",IF(E46&gt;0,"CON FALLAS",IF(D46&gt;0,"VERIFICADO (parcial)","PLANIFICADO")))</f>
        <v>VERIFICADO (parcial)</v>
      </c>
    </row>
    <row r="47" customFormat="false" ht="15" hidden="false" customHeight="false" outlineLevel="0" collapsed="false">
      <c r="A47" s="8" t="s">
        <v>767</v>
      </c>
      <c r="B47" s="10" t="s">
        <v>768</v>
      </c>
      <c r="C47" s="15" t="n">
        <f aca="false">SUMPRODUCT(--ISNUMBER(SEARCH("; "&amp;$A47&amp;";","; "&amp;'Plan de pruebas'!$M$7:$M$108&amp;";")))</f>
        <v>4</v>
      </c>
      <c r="D47" s="15" t="n">
        <f aca="false">SUMPRODUCT(--ISNUMBER(SEARCH("; "&amp;$A47&amp;";","; "&amp;'Plan de pruebas'!$M$7:$M$108&amp;";")),--('Plan de pruebas'!$I$7:$I$108="SI"))</f>
        <v>3</v>
      </c>
      <c r="E47" s="15" t="n">
        <f aca="false">SUMPRODUCT(--ISNUMBER(SEARCH("; "&amp;$A47&amp;";","; "&amp;'Plan de pruebas'!$M$7:$M$108&amp;";")),--('Plan de pruebas'!$I$7:$I$108="NO"))</f>
        <v>0</v>
      </c>
      <c r="F47" s="15" t="n">
        <f aca="false">SUMPRODUCT(--ISNUMBER(SEARCH("; "&amp;$A47&amp;";","; "&amp;'Plan de pruebas'!$M$7:$M$108&amp;";")),--('Plan de pruebas'!$I$7:$I$108="PENDIENTE"))</f>
        <v>1</v>
      </c>
      <c r="G47" s="15" t="str">
        <f aca="false">IF(C47=0,"SIN CUBRIR",IF(E47&gt;0,"CON FALLAS",IF(D47&gt;0,"VERIFICADO (parcial)","PLANIFICADO")))</f>
        <v>VERIFICADO (parcial)</v>
      </c>
    </row>
    <row r="48" customFormat="false" ht="15" hidden="false" customHeight="false" outlineLevel="0" collapsed="false">
      <c r="A48" s="8" t="s">
        <v>769</v>
      </c>
      <c r="B48" s="10" t="s">
        <v>770</v>
      </c>
      <c r="C48" s="15" t="n">
        <f aca="false">SUMPRODUCT(--ISNUMBER(SEARCH("; "&amp;$A48&amp;";","; "&amp;'Plan de pruebas'!$M$7:$M$108&amp;";")))</f>
        <v>2</v>
      </c>
      <c r="D48" s="15" t="n">
        <f aca="false">SUMPRODUCT(--ISNUMBER(SEARCH("; "&amp;$A48&amp;";","; "&amp;'Plan de pruebas'!$M$7:$M$108&amp;";")),--('Plan de pruebas'!$I$7:$I$108="SI"))</f>
        <v>0</v>
      </c>
      <c r="E48" s="15" t="n">
        <f aca="false">SUMPRODUCT(--ISNUMBER(SEARCH("; "&amp;$A48&amp;";","; "&amp;'Plan de pruebas'!$M$7:$M$108&amp;";")),--('Plan de pruebas'!$I$7:$I$108="NO"))</f>
        <v>0</v>
      </c>
      <c r="F48" s="15" t="n">
        <f aca="false">SUMPRODUCT(--ISNUMBER(SEARCH("; "&amp;$A48&amp;";","; "&amp;'Plan de pruebas'!$M$7:$M$108&amp;";")),--('Plan de pruebas'!$I$7:$I$108="PENDIENTE"))</f>
        <v>2</v>
      </c>
      <c r="G48" s="15" t="str">
        <f aca="false">IF(C48=0,"SIN CUBRIR",IF(E48&gt;0,"CON FALLAS",IF(D48&gt;0,"VERIFICADO (parcial)","PLANIFICADO")))</f>
        <v>PLANIFICADO</v>
      </c>
    </row>
    <row r="49" customFormat="false" ht="15" hidden="false" customHeight="false" outlineLevel="0" collapsed="false">
      <c r="A49" s="8" t="s">
        <v>771</v>
      </c>
      <c r="B49" s="10" t="s">
        <v>772</v>
      </c>
      <c r="C49" s="15" t="n">
        <f aca="false">SUMPRODUCT(--ISNUMBER(SEARCH("; "&amp;$A49&amp;";","; "&amp;'Plan de pruebas'!$M$7:$M$108&amp;";")))</f>
        <v>1</v>
      </c>
      <c r="D49" s="15" t="n">
        <f aca="false">SUMPRODUCT(--ISNUMBER(SEARCH("; "&amp;$A49&amp;";","; "&amp;'Plan de pruebas'!$M$7:$M$108&amp;";")),--('Plan de pruebas'!$I$7:$I$108="SI"))</f>
        <v>0</v>
      </c>
      <c r="E49" s="15" t="n">
        <f aca="false">SUMPRODUCT(--ISNUMBER(SEARCH("; "&amp;$A49&amp;";","; "&amp;'Plan de pruebas'!$M$7:$M$108&amp;";")),--('Plan de pruebas'!$I$7:$I$108="NO"))</f>
        <v>0</v>
      </c>
      <c r="F49" s="15" t="n">
        <f aca="false">SUMPRODUCT(--ISNUMBER(SEARCH("; "&amp;$A49&amp;";","; "&amp;'Plan de pruebas'!$M$7:$M$108&amp;";")),--('Plan de pruebas'!$I$7:$I$108="PENDIENTE"))</f>
        <v>1</v>
      </c>
      <c r="G49" s="15" t="str">
        <f aca="false">IF(C49=0,"SIN CUBRIR",IF(E49&gt;0,"CON FALLAS",IF(D49&gt;0,"VERIFICADO (parcial)","PLANIFICADO")))</f>
        <v>PLANIFICADO</v>
      </c>
    </row>
    <row r="50" customFormat="false" ht="15" hidden="false" customHeight="false" outlineLevel="0" collapsed="false">
      <c r="A50" s="8" t="s">
        <v>773</v>
      </c>
      <c r="B50" s="10" t="s">
        <v>774</v>
      </c>
      <c r="C50" s="15" t="n">
        <f aca="false">SUMPRODUCT(--ISNUMBER(SEARCH("; "&amp;$A50&amp;";","; "&amp;'Plan de pruebas'!$M$7:$M$108&amp;";")))</f>
        <v>6</v>
      </c>
      <c r="D50" s="15" t="n">
        <f aca="false">SUMPRODUCT(--ISNUMBER(SEARCH("; "&amp;$A50&amp;";","; "&amp;'Plan de pruebas'!$M$7:$M$108&amp;";")),--('Plan de pruebas'!$I$7:$I$108="SI"))</f>
        <v>4</v>
      </c>
      <c r="E50" s="15" t="n">
        <f aca="false">SUMPRODUCT(--ISNUMBER(SEARCH("; "&amp;$A50&amp;";","; "&amp;'Plan de pruebas'!$M$7:$M$108&amp;";")),--('Plan de pruebas'!$I$7:$I$108="NO"))</f>
        <v>0</v>
      </c>
      <c r="F50" s="15" t="n">
        <f aca="false">SUMPRODUCT(--ISNUMBER(SEARCH("; "&amp;$A50&amp;";","; "&amp;'Plan de pruebas'!$M$7:$M$108&amp;";")),--('Plan de pruebas'!$I$7:$I$108="PENDIENTE"))</f>
        <v>2</v>
      </c>
      <c r="G50" s="15" t="str">
        <f aca="false">IF(C50=0,"SIN CUBRIR",IF(E50&gt;0,"CON FALLAS",IF(D50&gt;0,"VERIFICADO (parcial)","PLANIFICADO")))</f>
        <v>VERIFICADO (parcial)</v>
      </c>
    </row>
    <row r="51" customFormat="false" ht="15" hidden="false" customHeight="false" outlineLevel="0" collapsed="false">
      <c r="A51" s="8" t="s">
        <v>775</v>
      </c>
      <c r="B51" s="10" t="s">
        <v>776</v>
      </c>
      <c r="C51" s="15" t="n">
        <f aca="false">SUMPRODUCT(--ISNUMBER(SEARCH("; "&amp;$A51&amp;";","; "&amp;'Plan de pruebas'!$M$7:$M$108&amp;";")))</f>
        <v>3</v>
      </c>
      <c r="D51" s="15" t="n">
        <f aca="false">SUMPRODUCT(--ISNUMBER(SEARCH("; "&amp;$A51&amp;";","; "&amp;'Plan de pruebas'!$M$7:$M$108&amp;";")),--('Plan de pruebas'!$I$7:$I$108="SI"))</f>
        <v>1</v>
      </c>
      <c r="E51" s="15" t="n">
        <f aca="false">SUMPRODUCT(--ISNUMBER(SEARCH("; "&amp;$A51&amp;";","; "&amp;'Plan de pruebas'!$M$7:$M$108&amp;";")),--('Plan de pruebas'!$I$7:$I$108="NO"))</f>
        <v>0</v>
      </c>
      <c r="F51" s="15" t="n">
        <f aca="false">SUMPRODUCT(--ISNUMBER(SEARCH("; "&amp;$A51&amp;";","; "&amp;'Plan de pruebas'!$M$7:$M$108&amp;";")),--('Plan de pruebas'!$I$7:$I$108="PENDIENTE"))</f>
        <v>2</v>
      </c>
      <c r="G51" s="15" t="str">
        <f aca="false">IF(C51=0,"SIN CUBRIR",IF(E51&gt;0,"CON FALLAS",IF(D51&gt;0,"VERIFICADO (parcial)","PLANIFICADO")))</f>
        <v>VERIFICADO (parcial)</v>
      </c>
    </row>
    <row r="52" customFormat="false" ht="15" hidden="false" customHeight="false" outlineLevel="0" collapsed="false">
      <c r="A52" s="8" t="s">
        <v>777</v>
      </c>
      <c r="B52" s="10" t="s">
        <v>778</v>
      </c>
      <c r="C52" s="15" t="n">
        <f aca="false">SUMPRODUCT(--ISNUMBER(SEARCH("; "&amp;$A52&amp;";","; "&amp;'Plan de pruebas'!$M$7:$M$108&amp;";")))</f>
        <v>6</v>
      </c>
      <c r="D52" s="15" t="n">
        <f aca="false">SUMPRODUCT(--ISNUMBER(SEARCH("; "&amp;$A52&amp;";","; "&amp;'Plan de pruebas'!$M$7:$M$108&amp;";")),--('Plan de pruebas'!$I$7:$I$108="SI"))</f>
        <v>1</v>
      </c>
      <c r="E52" s="15" t="n">
        <f aca="false">SUMPRODUCT(--ISNUMBER(SEARCH("; "&amp;$A52&amp;";","; "&amp;'Plan de pruebas'!$M$7:$M$108&amp;";")),--('Plan de pruebas'!$I$7:$I$108="NO"))</f>
        <v>0</v>
      </c>
      <c r="F52" s="15" t="n">
        <f aca="false">SUMPRODUCT(--ISNUMBER(SEARCH("; "&amp;$A52&amp;";","; "&amp;'Plan de pruebas'!$M$7:$M$108&amp;";")),--('Plan de pruebas'!$I$7:$I$108="PENDIENTE"))</f>
        <v>5</v>
      </c>
      <c r="G52" s="15" t="str">
        <f aca="false">IF(C52=0,"SIN CUBRIR",IF(E52&gt;0,"CON FALLAS",IF(D52&gt;0,"VERIFICADO (parcial)","PLANIFICADO")))</f>
        <v>VERIFICADO (parcial)</v>
      </c>
    </row>
    <row r="53" customFormat="false" ht="15" hidden="false" customHeight="false" outlineLevel="0" collapsed="false">
      <c r="A53" s="8" t="s">
        <v>779</v>
      </c>
      <c r="B53" s="10" t="s">
        <v>780</v>
      </c>
      <c r="C53" s="15" t="n">
        <f aca="false">SUMPRODUCT(--ISNUMBER(SEARCH("; "&amp;$A53&amp;";","; "&amp;'Plan de pruebas'!$M$7:$M$108&amp;";")))</f>
        <v>3</v>
      </c>
      <c r="D53" s="15" t="n">
        <f aca="false">SUMPRODUCT(--ISNUMBER(SEARCH("; "&amp;$A53&amp;";","; "&amp;'Plan de pruebas'!$M$7:$M$108&amp;";")),--('Plan de pruebas'!$I$7:$I$108="SI"))</f>
        <v>2</v>
      </c>
      <c r="E53" s="15" t="n">
        <f aca="false">SUMPRODUCT(--ISNUMBER(SEARCH("; "&amp;$A53&amp;";","; "&amp;'Plan de pruebas'!$M$7:$M$108&amp;";")),--('Plan de pruebas'!$I$7:$I$108="NO"))</f>
        <v>0</v>
      </c>
      <c r="F53" s="15" t="n">
        <f aca="false">SUMPRODUCT(--ISNUMBER(SEARCH("; "&amp;$A53&amp;";","; "&amp;'Plan de pruebas'!$M$7:$M$108&amp;";")),--('Plan de pruebas'!$I$7:$I$108="PENDIENTE"))</f>
        <v>1</v>
      </c>
      <c r="G53" s="15" t="str">
        <f aca="false">IF(C53=0,"SIN CUBRIR",IF(E53&gt;0,"CON FALLAS",IF(D53&gt;0,"VERIFICADO (parcial)","PLANIFICADO")))</f>
        <v>VERIFICADO (parcial)</v>
      </c>
    </row>
    <row r="54" customFormat="false" ht="15" hidden="false" customHeight="false" outlineLevel="0" collapsed="false">
      <c r="A54" s="8" t="s">
        <v>781</v>
      </c>
      <c r="B54" s="10" t="s">
        <v>782</v>
      </c>
      <c r="C54" s="15" t="n">
        <f aca="false">SUMPRODUCT(--ISNUMBER(SEARCH("; "&amp;$A54&amp;";","; "&amp;'Plan de pruebas'!$M$7:$M$108&amp;";")))</f>
        <v>4</v>
      </c>
      <c r="D54" s="15" t="n">
        <f aca="false">SUMPRODUCT(--ISNUMBER(SEARCH("; "&amp;$A54&amp;";","; "&amp;'Plan de pruebas'!$M$7:$M$108&amp;";")),--('Plan de pruebas'!$I$7:$I$108="SI"))</f>
        <v>0</v>
      </c>
      <c r="E54" s="15" t="n">
        <f aca="false">SUMPRODUCT(--ISNUMBER(SEARCH("; "&amp;$A54&amp;";","; "&amp;'Plan de pruebas'!$M$7:$M$108&amp;";")),--('Plan de pruebas'!$I$7:$I$108="NO"))</f>
        <v>0</v>
      </c>
      <c r="F54" s="15" t="n">
        <f aca="false">SUMPRODUCT(--ISNUMBER(SEARCH("; "&amp;$A54&amp;";","; "&amp;'Plan de pruebas'!$M$7:$M$108&amp;";")),--('Plan de pruebas'!$I$7:$I$108="PENDIENTE"))</f>
        <v>4</v>
      </c>
      <c r="G54" s="15" t="str">
        <f aca="false">IF(C54=0,"SIN CUBRIR",IF(E54&gt;0,"CON FALLAS",IF(D54&gt;0,"VERIFICADO (parcial)","PLANIFICADO")))</f>
        <v>PLANIFICADO</v>
      </c>
    </row>
    <row r="56" customFormat="false" ht="15" hidden="false" customHeight="false" outlineLevel="0" collapsed="false">
      <c r="A56" s="20" t="s">
        <v>783</v>
      </c>
      <c r="C56" s="20" t="n">
        <f aca="false">COUNTIF(G5:G54,"SIN CUBRIR")</f>
        <v>0</v>
      </c>
    </row>
    <row r="57" customFormat="false" ht="15" hidden="false" customHeight="false" outlineLevel="0" collapsed="false">
      <c r="A57" s="21" t="s">
        <v>784</v>
      </c>
    </row>
  </sheetData>
  <conditionalFormatting sqref="G5:G54">
    <cfRule type="cellIs" priority="2" operator="equal" aboveAverage="0" equalAverage="0" bottom="0" percent="0" rank="0" text="" dxfId="10">
      <formula>"SIN CUBRIR"</formula>
    </cfRule>
    <cfRule type="cellIs" priority="3" operator="equal" aboveAverage="0" equalAverage="0" bottom="0" percent="0" rank="0" text="" dxfId="10">
      <formula>"CON FALLAS"</formula>
    </cfRule>
    <cfRule type="cellIs" priority="4" operator="equal" aboveAverage="0" equalAverage="0" bottom="0" percent="0" rank="0" text="" dxfId="9">
      <formula>"VERIFICADO (parcial)"</formula>
    </cfRule>
    <cfRule type="cellIs" priority="5" operator="equal" aboveAverage="0" equalAverage="0" bottom="0" percent="0" rank="0" text="" dxfId="11">
      <formula>"PLANIFICADO"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2" t="s">
        <v>785</v>
      </c>
    </row>
    <row r="3" customFormat="false" ht="15" hidden="false" customHeight="false" outlineLevel="0" collapsed="false">
      <c r="A3" s="13" t="s">
        <v>786</v>
      </c>
    </row>
    <row r="4" customFormat="false" ht="30.55" hidden="false" customHeight="false" outlineLevel="0" collapsed="false">
      <c r="A4" s="22" t="s">
        <v>8</v>
      </c>
      <c r="B4" s="23" t="s">
        <v>787</v>
      </c>
    </row>
    <row r="5" customFormat="false" ht="20.85" hidden="false" customHeight="false" outlineLevel="0" collapsed="false">
      <c r="A5" s="22" t="s">
        <v>788</v>
      </c>
      <c r="B5" s="23" t="s">
        <v>789</v>
      </c>
    </row>
    <row r="6" customFormat="false" ht="15" hidden="false" customHeight="false" outlineLevel="0" collapsed="false">
      <c r="A6" s="22" t="s">
        <v>10</v>
      </c>
      <c r="B6" s="23" t="s">
        <v>790</v>
      </c>
    </row>
    <row r="7" customFormat="false" ht="15" hidden="false" customHeight="false" outlineLevel="0" collapsed="false">
      <c r="A7" s="22" t="s">
        <v>15</v>
      </c>
      <c r="B7" s="23" t="s">
        <v>791</v>
      </c>
    </row>
    <row r="8" customFormat="false" ht="15" hidden="false" customHeight="false" outlineLevel="0" collapsed="false">
      <c r="A8" s="22" t="s">
        <v>16</v>
      </c>
      <c r="B8" s="23" t="s">
        <v>792</v>
      </c>
    </row>
    <row r="9" customFormat="false" ht="15" hidden="false" customHeight="false" outlineLevel="0" collapsed="false">
      <c r="A9" s="22" t="s">
        <v>17</v>
      </c>
      <c r="B9" s="23" t="s">
        <v>793</v>
      </c>
    </row>
    <row r="10" customFormat="false" ht="20.85" hidden="false" customHeight="false" outlineLevel="0" collapsed="false">
      <c r="A10" s="22" t="s">
        <v>19</v>
      </c>
      <c r="B10" s="23" t="s">
        <v>794</v>
      </c>
    </row>
    <row r="11" customFormat="false" ht="15" hidden="false" customHeight="false" outlineLevel="0" collapsed="false">
      <c r="A11" s="22" t="s">
        <v>795</v>
      </c>
      <c r="B11" s="23" t="s">
        <v>796</v>
      </c>
    </row>
    <row r="12" customFormat="false" ht="15" hidden="false" customHeight="false" outlineLevel="0" collapsed="false">
      <c r="A12" s="13" t="s">
        <v>797</v>
      </c>
    </row>
    <row r="13" customFormat="false" ht="15" hidden="false" customHeight="false" outlineLevel="0" collapsed="false">
      <c r="A13" s="22" t="s">
        <v>798</v>
      </c>
      <c r="B13" s="23" t="s">
        <v>799</v>
      </c>
    </row>
    <row r="14" customFormat="false" ht="15" hidden="false" customHeight="false" outlineLevel="0" collapsed="false">
      <c r="A14" s="22" t="s">
        <v>800</v>
      </c>
      <c r="B14" s="23" t="s">
        <v>801</v>
      </c>
    </row>
    <row r="15" customFormat="false" ht="15" hidden="false" customHeight="false" outlineLevel="0" collapsed="false">
      <c r="A15" s="22" t="s">
        <v>802</v>
      </c>
      <c r="B15" s="23" t="s">
        <v>803</v>
      </c>
    </row>
    <row r="16" customFormat="false" ht="15" hidden="false" customHeight="false" outlineLevel="0" collapsed="false">
      <c r="A16" s="22" t="s">
        <v>804</v>
      </c>
      <c r="B16" s="23" t="s">
        <v>805</v>
      </c>
    </row>
    <row r="17" customFormat="false" ht="15" hidden="false" customHeight="false" outlineLevel="0" collapsed="false">
      <c r="A17" s="22" t="s">
        <v>806</v>
      </c>
      <c r="B17" s="23" t="s">
        <v>807</v>
      </c>
    </row>
    <row r="18" customFormat="false" ht="15" hidden="false" customHeight="false" outlineLevel="0" collapsed="false">
      <c r="A18" s="22" t="s">
        <v>808</v>
      </c>
      <c r="B18" s="23" t="s">
        <v>809</v>
      </c>
    </row>
    <row r="19" customFormat="false" ht="15" hidden="false" customHeight="false" outlineLevel="0" collapsed="false">
      <c r="A19" s="22" t="s">
        <v>810</v>
      </c>
      <c r="B19" s="23" t="s">
        <v>811</v>
      </c>
    </row>
    <row r="20" customFormat="false" ht="15" hidden="false" customHeight="false" outlineLevel="0" collapsed="false">
      <c r="A20" s="22" t="s">
        <v>812</v>
      </c>
      <c r="B20" s="23" t="s">
        <v>813</v>
      </c>
    </row>
    <row r="21" customFormat="false" ht="15" hidden="false" customHeight="false" outlineLevel="0" collapsed="false">
      <c r="A21" s="22" t="s">
        <v>814</v>
      </c>
      <c r="B21" s="23" t="s">
        <v>815</v>
      </c>
    </row>
    <row r="22" customFormat="false" ht="15" hidden="false" customHeight="false" outlineLevel="0" collapsed="false">
      <c r="A22" s="22" t="s">
        <v>816</v>
      </c>
      <c r="B22" s="23" t="s">
        <v>817</v>
      </c>
    </row>
    <row r="23" customFormat="false" ht="15" hidden="false" customHeight="false" outlineLevel="0" collapsed="false">
      <c r="A23" s="22" t="s">
        <v>818</v>
      </c>
      <c r="B23" s="23" t="s">
        <v>819</v>
      </c>
    </row>
    <row r="24" customFormat="false" ht="15" hidden="false" customHeight="false" outlineLevel="0" collapsed="false">
      <c r="A24" s="13" t="s">
        <v>820</v>
      </c>
    </row>
    <row r="25" customFormat="false" ht="20.85" hidden="false" customHeight="false" outlineLevel="0" collapsed="false">
      <c r="A25" s="22" t="s">
        <v>821</v>
      </c>
      <c r="B25" s="23" t="s">
        <v>822</v>
      </c>
    </row>
    <row r="26" customFormat="false" ht="15" hidden="false" customHeight="false" outlineLevel="0" collapsed="false">
      <c r="A26" s="22" t="s">
        <v>823</v>
      </c>
      <c r="B26" s="23" t="s">
        <v>824</v>
      </c>
    </row>
    <row r="27" customFormat="false" ht="15" hidden="false" customHeight="false" outlineLevel="0" collapsed="false">
      <c r="A27" s="22" t="s">
        <v>825</v>
      </c>
      <c r="B27" s="23" t="s">
        <v>826</v>
      </c>
    </row>
    <row r="28" customFormat="false" ht="15" hidden="false" customHeight="false" outlineLevel="0" collapsed="false">
      <c r="A28" s="13" t="s">
        <v>827</v>
      </c>
    </row>
    <row r="29" customFormat="false" ht="15" hidden="false" customHeight="false" outlineLevel="0" collapsed="false">
      <c r="A29" s="22" t="s">
        <v>828</v>
      </c>
      <c r="B29" s="23" t="s">
        <v>829</v>
      </c>
    </row>
    <row r="30" customFormat="false" ht="15" hidden="false" customHeight="false" outlineLevel="0" collapsed="false">
      <c r="A30" s="22" t="s">
        <v>830</v>
      </c>
      <c r="B30" s="23" t="s">
        <v>831</v>
      </c>
    </row>
    <row r="31" customFormat="false" ht="15" hidden="false" customHeight="false" outlineLevel="0" collapsed="false">
      <c r="A31" s="22" t="s">
        <v>832</v>
      </c>
      <c r="B31" s="23" t="s">
        <v>833</v>
      </c>
    </row>
    <row r="32" customFormat="false" ht="20.85" hidden="false" customHeight="false" outlineLevel="0" collapsed="false">
      <c r="A32" s="22" t="s">
        <v>834</v>
      </c>
      <c r="B32" s="23" t="s">
        <v>835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2026-09-23T19:44:35Z</dcterms:created>
  <dc:creator>Audiovisuales Ucc Pasto</dc:creator>
  <dc:description/>
  <dc:language>en-US</dc:language>
  <cp:lastModifiedBy>Audiovisuales Ucc Pasto</cp:lastModifiedBy>
  <dcterms:modified xsi:type="dcterms:W3CDTF">2026-09-30T03:55:26Z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